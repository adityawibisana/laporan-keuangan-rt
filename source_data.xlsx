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21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22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" sheetId="1" r:id="rId5"/>
    <sheet state="visible" name="Feb" sheetId="2" r:id="rId6"/>
    <sheet state="visible" name="Mar" sheetId="3" r:id="rId7"/>
    <sheet state="visible" name="Apr" sheetId="4" r:id="rId8"/>
    <sheet state="visible" name="Mei" sheetId="5" r:id="rId9"/>
    <sheet state="visible" name="Jun" sheetId="6" r:id="rId10"/>
    <sheet state="visible" name="Jul" sheetId="7" r:id="rId11"/>
    <sheet state="visible" name="Agu" sheetId="8" r:id="rId12"/>
    <sheet state="visible" name="Sep" sheetId="9" r:id="rId13"/>
    <sheet state="visible" name="Okt" sheetId="10" r:id="rId14"/>
    <sheet state="visible" name="Nov" sheetId="11" r:id="rId15"/>
    <sheet state="visible" name="Des" sheetId="12" r:id="rId16"/>
    <sheet state="visible" name="+Jan" sheetId="13" r:id="rId17"/>
    <sheet state="visible" name="+Feb" sheetId="14" r:id="rId18"/>
    <sheet state="visible" name="+Mar" sheetId="15" r:id="rId19"/>
    <sheet state="visible" name="+Apr" sheetId="16" r:id="rId20"/>
    <sheet state="visible" name="+Mei" sheetId="17" r:id="rId21"/>
    <sheet state="visible" name="+Jun" sheetId="18" r:id="rId22"/>
    <sheet state="visible" name="+Jul" sheetId="19" r:id="rId23"/>
    <sheet state="visible" name="+Agu" sheetId="20" r:id="rId24"/>
    <sheet state="visible" name="+Sep" sheetId="21" r:id="rId25"/>
    <sheet state="visible" name="+Okt" sheetId="22" r:id="rId26"/>
    <sheet state="visible" name="+Nov" sheetId="23" r:id="rId27"/>
    <sheet state="visible" name="+Des" sheetId="24" r:id="rId28"/>
    <sheet state="visible" name="-Jan" sheetId="25" r:id="rId29"/>
    <sheet state="visible" name="-Feb" sheetId="26" r:id="rId30"/>
    <sheet state="visible" name="-Mar" sheetId="27" r:id="rId31"/>
    <sheet state="visible" name="-Apr" sheetId="28" r:id="rId32"/>
    <sheet state="visible" name="-Mei" sheetId="29" r:id="rId33"/>
    <sheet state="visible" name="-Jun" sheetId="30" r:id="rId34"/>
    <sheet state="visible" name="-Jul" sheetId="31" r:id="rId35"/>
    <sheet state="visible" name="-Agu" sheetId="32" r:id="rId36"/>
    <sheet state="visible" name="-Sep" sheetId="33" r:id="rId37"/>
    <sheet state="visible" name="-Okt" sheetId="34" r:id="rId38"/>
    <sheet state="visible" name="-Nov" sheetId="35" r:id="rId39"/>
    <sheet state="visible" name="-Des" sheetId="36" r:id="rId40"/>
    <sheet state="visible" name="Ref" sheetId="37" r:id="rId4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Sampah nunut di sebelah</t>
      </text>
    </comment>
    <comment authorId="0" ref="I1">
      <text>
        <t xml:space="preserve">Tidak digunakan, hanya untuk referensi dama bu Ifa yang bervariasi pembayarannya</t>
      </text>
    </comment>
    <comment authorId="0" ref="B8">
      <text>
        <t xml:space="preserve">Sampah 2x, kematian 1x</t>
      </text>
    </comment>
    <comment authorId="0" ref="B40">
      <text>
        <t xml:space="preserve">Untuk mahasiswa hanya bersedia membayar uang sampah dan keamanan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Sampah nunut di sebelah</t>
      </text>
    </comment>
    <comment authorId="0" ref="I1">
      <text>
        <t xml:space="preserve">Tidak digunakan, hanya untuk referensi dama bu Ifa yang bervariasi pembayarannya</t>
      </text>
    </comment>
    <comment authorId="0" ref="B8">
      <text>
        <t xml:space="preserve">Sampah dll 2x, kematian 1x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Sampah nunut di sebelah</t>
      </text>
    </comment>
    <comment authorId="0" ref="I1">
      <text>
        <t xml:space="preserve">Tidak digunakan, hanya untuk referensi dama bu Ifa yang bervariasi pembayarannya</t>
      </text>
    </comment>
    <comment authorId="0" ref="B41">
      <text>
        <t xml:space="preserve">Untuk mahasiswa hanya bersedia membayar uang sampah dan keamanan</t>
      </text>
    </comment>
    <comment authorId="0" ref="B8">
      <text>
        <t xml:space="preserve">Sampah dll 2x, kematian 1x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Sampah nunut di sebelah</t>
      </text>
    </comment>
    <comment authorId="0" ref="I1">
      <text>
        <t xml:space="preserve">Tidak digunakan, hanya untuk referensi dama bu Ifa yang bervariasi pembayarannya</t>
      </text>
    </comment>
    <comment authorId="0" ref="B8">
      <text>
        <t xml:space="preserve">2x, kecuali kematian 1x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Sampah nunut di sebelah</t>
      </text>
    </comment>
    <comment authorId="0" ref="I1">
      <text>
        <t xml:space="preserve">Tidak digunakan, hanya untuk referensi dama bu Ifa yang bervariasi pembayarannya</t>
      </text>
    </comment>
    <comment authorId="0" ref="B8">
      <text>
        <t xml:space="preserve">2x, kecuali kematian 1x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Sampah nunut di sebelah</t>
      </text>
    </comment>
    <comment authorId="0" ref="I1">
      <text>
        <t xml:space="preserve">Tidak digunakan, hanya untuk referensi dama bu Ifa yang bervariasi pembayarannya</t>
      </text>
    </comment>
    <comment authorId="0" ref="B41">
      <text>
        <t xml:space="preserve">Untuk mahasiswa hanya bersedia membayar uang sampah dan keamanan</t>
      </text>
    </comment>
    <comment authorId="0" ref="B8">
      <text>
        <t xml:space="preserve">2x, kecuali kematian 1x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Sampah nunut di sebelah</t>
      </text>
    </comment>
    <comment authorId="0" ref="I1">
      <text>
        <t xml:space="preserve">Tidak digunakan, hanya untuk referensi dama bu Ifa yang bervariasi pembayarannya</t>
      </text>
    </comment>
    <comment authorId="0" ref="B41">
      <text>
        <t xml:space="preserve">Untuk mahasiswa hanya bersedia membayar uang sampah dan keamanan</t>
      </text>
    </comment>
    <comment authorId="0" ref="B8">
      <text>
        <t xml:space="preserve">2x, kecuali kematian 1x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Sampah nunut di sebelah</t>
      </text>
    </comment>
    <comment authorId="0" ref="I1">
      <text>
        <t xml:space="preserve">Tidak digunakan, hanya untuk referensi dama bu Ifa yang bervariasi pembayarannya</t>
      </text>
    </comment>
    <comment authorId="0" ref="B8">
      <text>
        <t xml:space="preserve">2x, kecuali kematian 1x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Sampah nunut di sebelah</t>
      </text>
    </comment>
    <comment authorId="0" ref="I1">
      <text>
        <t xml:space="preserve">Tidak digunakan, hanya untuk referensi dama bu Ifa yang bervariasi pembayarannya</t>
      </text>
    </comment>
    <comment authorId="0" ref="B8">
      <text>
        <t xml:space="preserve">2x, kecuali kematian 1x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Sampah nunut di sebelah</t>
      </text>
    </comment>
    <comment authorId="0" ref="I1">
      <text>
        <t xml:space="preserve">Tidak digunakan, hanya untuk referensi dama bu Ifa yang bervariasi pembayarannya</t>
      </text>
    </comment>
    <comment authorId="0" ref="B8">
      <text>
        <t xml:space="preserve">2x, kecuali kematian 1x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Sampah nunut di sebelah</t>
      </text>
    </comment>
    <comment authorId="0" ref="I1">
      <text>
        <t xml:space="preserve">Tidak digunakan, hanya untuk referensi dama bu Ifa yang bervariasi pembayarannya</t>
      </text>
    </comment>
    <comment authorId="0" ref="B8">
      <text>
        <t xml:space="preserve">2x, kecuali kematian 1x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Sampah nunut di sebelah</t>
      </text>
    </comment>
    <comment authorId="0" ref="I1">
      <text>
        <t xml:space="preserve">Tidak digunakan, hanya untuk referensi dama bu Ifa yang bervariasi pembayarannya</t>
      </text>
    </comment>
    <comment authorId="0" ref="B8">
      <text>
        <t xml:space="preserve">2x, kecuali kematian 1x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HANYA untuk direferensikan ke laporan global.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HANYA untuk direferensikan ke laporan global.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HANYA untuk direferensikan ke laporan global.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HANYA untuk direferensikan ke laporan global.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HANYA untuk direferensikan ke laporan global.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HANYA untuk direferensikan ke laporan global.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HANYA untuk direferensikan ke laporan global.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HANYA untuk direferensikan ke laporan global.</t>
      </text>
    </comment>
  </commentLi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HANYA untuk direferensikan ke laporan global.</t>
      </text>
    </comment>
  </commentLi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HANYA untuk direferensikan ke laporan global.</t>
      </text>
    </comment>
  </commentLi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HANYA untuk direferensikan ke laporan global.</t>
      </text>
    </comment>
  </commentList>
</comments>
</file>

<file path=xl/comments2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HANYA untuk direferensikan ke laporan global.</t>
      </text>
    </comment>
  </commentList>
</comments>
</file>

<file path=xl/sharedStrings.xml><?xml version="1.0" encoding="utf-8"?>
<sst xmlns="http://schemas.openxmlformats.org/spreadsheetml/2006/main" count="1181" uniqueCount="141">
  <si>
    <t>LAPORAN KEUANGAN</t>
  </si>
  <si>
    <t>RT03/RW21 BUKIT PERMAI
Januari 2026</t>
  </si>
  <si>
    <t>Penerimaan</t>
  </si>
  <si>
    <t>Pengeluaran</t>
  </si>
  <si>
    <t>No</t>
  </si>
  <si>
    <t>Keterangan</t>
  </si>
  <si>
    <t>Pemasukan</t>
  </si>
  <si>
    <t>Beban</t>
  </si>
  <si>
    <t>Total Penerimaan</t>
  </si>
  <si>
    <t>Total Pengeluaran</t>
  </si>
  <si>
    <t>Saldo akhir</t>
  </si>
  <si>
    <t>Rincian Pos</t>
  </si>
  <si>
    <t>Sampah dan Keamanan</t>
  </si>
  <si>
    <t>Kematian</t>
  </si>
  <si>
    <t>Iuran RT</t>
  </si>
  <si>
    <t>Iuran RW</t>
  </si>
  <si>
    <t>HUT</t>
  </si>
  <si>
    <t>Total</t>
  </si>
  <si>
    <t>RT03/RW21 BUKIT PERMAI
Februari 2026</t>
  </si>
  <si>
    <t>Delta</t>
  </si>
  <si>
    <t>RT03/RW21 BUKIT PERMAI
Maret 2026</t>
  </si>
  <si>
    <t>RT03/RW21 BUKIT PERMAI
April 2026</t>
  </si>
  <si>
    <t>RT03/RW21 BUKIT PERMAI
Mei 2026</t>
  </si>
  <si>
    <t>RT03/RW21 BUKIT PERMAI
Juni 2026</t>
  </si>
  <si>
    <t>RT03/RW21 BUKIT PERMAI
Juli 2026</t>
  </si>
  <si>
    <t>RT03/RW21 BUKIT PERMAI
Agustus 2026</t>
  </si>
  <si>
    <t>RT03/RW21 BUKIT PERMAI
September 2026</t>
  </si>
  <si>
    <t>RT03/RW21 BUKIT PERMAI
Oktober 2026</t>
  </si>
  <si>
    <t>RT03/RW21 BUKIT PERMAI
November 2026</t>
  </si>
  <si>
    <t>RT03/RW21 BUKIT PERMAI
Desember 2026</t>
  </si>
  <si>
    <t>Nama / Pemasukan</t>
  </si>
  <si>
    <t>Sampah (35000)</t>
  </si>
  <si>
    <t>Kematian (5000)</t>
  </si>
  <si>
    <t>Iuran RT (2500)</t>
  </si>
  <si>
    <t>Iuran RW (2500)</t>
  </si>
  <si>
    <t>HUT (5000)</t>
  </si>
  <si>
    <t>Total (tanpa HUT)</t>
  </si>
  <si>
    <t>Dama Bu Ifa</t>
  </si>
  <si>
    <t>Bu Adim</t>
  </si>
  <si>
    <t>Bu Bagus</t>
  </si>
  <si>
    <t>Bu Dedy</t>
  </si>
  <si>
    <t>Bu Haris</t>
  </si>
  <si>
    <t>Bu Ifa</t>
  </si>
  <si>
    <t>Bu Lukman</t>
  </si>
  <si>
    <t>Bu Lisa</t>
  </si>
  <si>
    <t>Bu Nur Badrianto</t>
  </si>
  <si>
    <t>Bu Nanang</t>
  </si>
  <si>
    <t>Bu Irene</t>
  </si>
  <si>
    <t>Bu Aditya</t>
  </si>
  <si>
    <t>Bu Roni</t>
  </si>
  <si>
    <t>Bu Roy</t>
  </si>
  <si>
    <t>Bu Suud</t>
  </si>
  <si>
    <t>Bu Edo</t>
  </si>
  <si>
    <t>Bu Vivi</t>
  </si>
  <si>
    <t>Bu Yulianus</t>
  </si>
  <si>
    <t>KTG</t>
  </si>
  <si>
    <t>Bu Handoko</t>
  </si>
  <si>
    <t>Dama Bu Nur Faidzin</t>
  </si>
  <si>
    <t>Anggota Dama Bu Nur 1</t>
  </si>
  <si>
    <t>Anggota Dama Bu Nur 2</t>
  </si>
  <si>
    <t>Anggota Dama Bu Nur 3</t>
  </si>
  <si>
    <t>Anggota Dama Bu Nur 4</t>
  </si>
  <si>
    <t>Anggota Dama Bu Nur 5</t>
  </si>
  <si>
    <t>Anggota Dama Bu Nur 6</t>
  </si>
  <si>
    <t>Anggota Dama Bu Nur 7</t>
  </si>
  <si>
    <t>Anggota Dama Bu Nur 8</t>
  </si>
  <si>
    <t>Anggota Dama Bu Nur 9</t>
  </si>
  <si>
    <t>Anggota Dama Bu Nur 10</t>
  </si>
  <si>
    <t>Anggota Dama Bu Nur 11</t>
  </si>
  <si>
    <t>Anggota Dama Bu Nur 12</t>
  </si>
  <si>
    <t>Anggota Dama Bu Nur 13</t>
  </si>
  <si>
    <t>Anggota Dama Bu Nur 14</t>
  </si>
  <si>
    <t>Yayasan</t>
  </si>
  <si>
    <t>Mahasiswa</t>
  </si>
  <si>
    <t>Anggota Dama Bu Desi</t>
  </si>
  <si>
    <t>Pak Abidin S.S.</t>
  </si>
  <si>
    <t>Pak Soleh</t>
  </si>
  <si>
    <t>Pak Suparto</t>
  </si>
  <si>
    <t>Pak Sigit</t>
  </si>
  <si>
    <t>Pak Herianto</t>
  </si>
  <si>
    <t>Bu Elvin Gunawan</t>
  </si>
  <si>
    <t>Pak Boediharjo</t>
  </si>
  <si>
    <t>Bu Hastuti</t>
  </si>
  <si>
    <t>Pak Bambang</t>
  </si>
  <si>
    <t>Pak Djupri</t>
  </si>
  <si>
    <t>Pak Nyoto Wijoyo</t>
  </si>
  <si>
    <t>Pak Kushianto</t>
  </si>
  <si>
    <t>Setoran Langsung Ke Pak RT</t>
  </si>
  <si>
    <t>Pak Heri Wurdi (Jan 2026 - Des 2026)</t>
  </si>
  <si>
    <t>Wat Tak (Jan 2026 - Des 2026)</t>
  </si>
  <si>
    <t>Total Dama Bu Ifa</t>
  </si>
  <si>
    <t>Total Dama Bu Nur</t>
  </si>
  <si>
    <t>Total Dama Bu Desi</t>
  </si>
  <si>
    <t>Saldo Sebelumnya</t>
  </si>
  <si>
    <t>Total Keseluruhan</t>
  </si>
  <si>
    <t>HUT (10000)</t>
  </si>
  <si>
    <t>Bu Wahyu</t>
  </si>
  <si>
    <t>Pak Sulton</t>
  </si>
  <si>
    <t>Pak Antonius Kris Irawan -- Pindah --</t>
  </si>
  <si>
    <t>Armansyah</t>
  </si>
  <si>
    <t>Pak Sulton (Jan 2026 - Juli 2026)</t>
  </si>
  <si>
    <t>Khotti (Jan 2026 - Des 2026)</t>
  </si>
  <si>
    <t>Yunita (Jan 2026 - Des 2026)</t>
  </si>
  <si>
    <t>Anggota Dama 1</t>
  </si>
  <si>
    <t>Anggota Dama 2</t>
  </si>
  <si>
    <t>Anggota Dama 3</t>
  </si>
  <si>
    <t>Anggota Dama 4</t>
  </si>
  <si>
    <t>Anggota Dama 5</t>
  </si>
  <si>
    <t>Anggota Dama 6</t>
  </si>
  <si>
    <t>Anggota Dama 7</t>
  </si>
  <si>
    <t>Anggota Dama 8</t>
  </si>
  <si>
    <t>Anggota Dama 9</t>
  </si>
  <si>
    <t>Anggota Dama 10</t>
  </si>
  <si>
    <t>Anggota Dama 11</t>
  </si>
  <si>
    <t>Anggota Dama 12</t>
  </si>
  <si>
    <t>Anggota Dama 13</t>
  </si>
  <si>
    <t>Anggota Dama 14</t>
  </si>
  <si>
    <t>Bu Glen (Des '25 - Feb '26)</t>
  </si>
  <si>
    <t>Anggota Dama Bu Nur 15</t>
  </si>
  <si>
    <t xml:space="preserve"> </t>
  </si>
  <si>
    <t>Anggota Dama Bu Nur 16</t>
  </si>
  <si>
    <t>Bu Glen (Mar - Mei '26)</t>
  </si>
  <si>
    <t>Pak Aman (Mei - Des)</t>
  </si>
  <si>
    <t>Nama / Pengeluaran</t>
  </si>
  <si>
    <t>Global</t>
  </si>
  <si>
    <t>Tanggal Pengeluaran</t>
  </si>
  <si>
    <t>Iuran Penjaga Keamanan</t>
  </si>
  <si>
    <t>Iuran Retribusi Sampah</t>
  </si>
  <si>
    <t>Iuran Tukang Sampah</t>
  </si>
  <si>
    <t>Setor Rukem (Jan - Feb)</t>
  </si>
  <si>
    <t>Setor RW (Jan - Feb)</t>
  </si>
  <si>
    <t>Iuran Rapat RT</t>
  </si>
  <si>
    <t>THR Tukang Sampah</t>
  </si>
  <si>
    <t>THR Keamanan</t>
  </si>
  <si>
    <t>Parcel Lebaran</t>
  </si>
  <si>
    <t>Setor Rukem (Mar - Apr)</t>
  </si>
  <si>
    <t>Setor RW (Mar - Apr)</t>
  </si>
  <si>
    <t>Iuran Rapat Warga</t>
  </si>
  <si>
    <t>Setor Rukem (Mei - Jun)</t>
  </si>
  <si>
    <t>Setor RW (Mei - Jun)</t>
  </si>
  <si>
    <t>Tahun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</si>
</sst>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Rp* #,##0_);[Red](Rp* #,##0)"/>
    <numFmt numFmtId="165" formatCode="_-[$Rp-421]* #,##0_-;_-[$Rp-421]* \-#,##0_-;_-[$Rp-421]* &quot;-&quot;??_-;_-@"/>
    <numFmt numFmtId="166" formatCode="mmmm yyyy"/>
    <numFmt numFmtId="167" formatCode="d&quot;/&quot;m&quot;/&quot;yyyy"/>
    <numFmt numFmtId="168" formatCode="d/m/yyyy"/>
  </numFmts>
  <fonts count="20">
    <font>
      <sz val="10.0"/>
      <color rgb="FF000000"/>
      <name val="Arial"/>
      <scheme val="minor"/>
    </font>
    <font>
      <b/>
      <sz val="33.0"/>
      <color rgb="FF283592"/>
      <name val="Roboto"/>
    </font>
    <font>
      <color theme="1"/>
      <name val="Arial"/>
    </font>
    <font>
      <b/>
      <sz val="12.0"/>
      <color rgb="FFE01B84"/>
      <name val="Roboto"/>
    </font>
    <font>
      <b/>
      <sz val="14.0"/>
      <color rgb="FF283592"/>
      <name val="Roboto"/>
    </font>
    <font/>
    <font>
      <b/>
      <sz val="12.0"/>
      <color theme="1"/>
      <name val="Roboto"/>
    </font>
    <font>
      <sz val="11.0"/>
      <color theme="1"/>
      <name val="Inconsolata"/>
    </font>
    <font>
      <color theme="1"/>
      <name val="Roboto"/>
    </font>
    <font>
      <color theme="1"/>
      <name val="Roboto Mono"/>
    </font>
    <font>
      <b/>
      <sz val="16.0"/>
      <color rgb="FFE01B84"/>
      <name val="Roboto"/>
    </font>
    <font>
      <b/>
      <color rgb="FFE01B84"/>
      <name val="Roboto Mono"/>
    </font>
    <font>
      <color rgb="FFFFFFFF"/>
      <name val="Arial"/>
    </font>
    <font>
      <b/>
      <sz val="16.0"/>
      <color rgb="FFE01B84"/>
      <name val="Roboto Mono"/>
    </font>
    <font>
      <color theme="1"/>
      <name val="Arial"/>
      <scheme val="minor"/>
    </font>
    <font>
      <color rgb="FF000000"/>
      <name val="Roboto Mono"/>
    </font>
    <font>
      <b/>
      <color theme="1"/>
      <name val="Arial"/>
    </font>
    <font>
      <color theme="1"/>
      <name val="&quot;Roboto Mono&quot;"/>
    </font>
    <font>
      <b/>
      <color theme="1"/>
      <name val="Roboto Mono"/>
    </font>
    <font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DEDEDE"/>
        <bgColor rgb="FFDEDEDE"/>
      </patternFill>
    </fill>
    <fill>
      <patternFill patternType="solid">
        <fgColor rgb="FFCCCCCC"/>
        <bgColor rgb="FFCCCCCC"/>
      </patternFill>
    </fill>
    <fill>
      <patternFill patternType="solid">
        <fgColor rgb="FFFCE8B2"/>
        <bgColor rgb="FFFCE8B2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2" fontId="2" numFmtId="49" xfId="0" applyAlignment="1" applyFill="1" applyFont="1" applyNumberFormat="1">
      <alignment vertical="bottom"/>
    </xf>
    <xf borderId="0" fillId="3" fontId="4" numFmtId="0" xfId="0" applyAlignment="1" applyFill="1" applyFont="1">
      <alignment vertical="bottom"/>
    </xf>
    <xf borderId="1" fillId="0" fontId="5" numFmtId="0" xfId="0" applyBorder="1" applyFont="1"/>
    <xf borderId="0" fillId="2" fontId="6" numFmtId="0" xfId="0" applyAlignment="1" applyFont="1">
      <alignment vertical="bottom"/>
    </xf>
    <xf borderId="1" fillId="2" fontId="6" numFmtId="0" xfId="0" applyAlignment="1" applyBorder="1" applyFont="1">
      <alignment vertical="bottom"/>
    </xf>
    <xf borderId="0" fillId="2" fontId="6" numFmtId="164" xfId="0" applyAlignment="1" applyFont="1" applyNumberFormat="1">
      <alignment vertical="bottom"/>
    </xf>
    <xf borderId="0" fillId="4" fontId="7" numFmtId="0" xfId="0" applyAlignment="1" applyFill="1" applyFont="1">
      <alignment horizontal="right" vertical="bottom"/>
    </xf>
    <xf borderId="0" fillId="4" fontId="8" numFmtId="0" xfId="0" applyAlignment="1" applyFont="1">
      <alignment vertical="bottom"/>
    </xf>
    <xf borderId="1" fillId="4" fontId="9" numFmtId="164" xfId="0" applyAlignment="1" applyBorder="1" applyFont="1" applyNumberFormat="1">
      <alignment horizontal="right" vertical="bottom"/>
    </xf>
    <xf borderId="0" fillId="4" fontId="8" numFmtId="164" xfId="0" applyAlignment="1" applyFont="1" applyNumberFormat="1">
      <alignment vertical="bottom"/>
    </xf>
    <xf borderId="0" fillId="4" fontId="9" numFmtId="164" xfId="0" applyAlignment="1" applyFont="1" applyNumberFormat="1">
      <alignment horizontal="right" vertical="bottom"/>
    </xf>
    <xf borderId="0" fillId="2" fontId="2" numFmtId="0" xfId="0" applyFont="1"/>
    <xf borderId="0" fillId="2" fontId="8" numFmtId="0" xfId="0" applyAlignment="1" applyFont="1">
      <alignment vertical="bottom"/>
    </xf>
    <xf borderId="1" fillId="2" fontId="9" numFmtId="164" xfId="0" applyAlignment="1" applyBorder="1" applyFont="1" applyNumberFormat="1">
      <alignment horizontal="right" vertical="bottom"/>
    </xf>
    <xf borderId="0" fillId="2" fontId="8" numFmtId="0" xfId="0" applyAlignment="1" applyFont="1">
      <alignment horizontal="right" vertical="bottom"/>
    </xf>
    <xf borderId="0" fillId="2" fontId="8" numFmtId="164" xfId="0" applyAlignment="1" applyFont="1" applyNumberFormat="1">
      <alignment vertical="bottom"/>
    </xf>
    <xf borderId="0" fillId="2" fontId="9" numFmtId="164" xfId="0" applyAlignment="1" applyFont="1" applyNumberFormat="1">
      <alignment horizontal="right" vertical="bottom"/>
    </xf>
    <xf borderId="0" fillId="4" fontId="8" numFmtId="0" xfId="0" applyAlignment="1" applyFont="1">
      <alignment horizontal="right" vertical="bottom"/>
    </xf>
    <xf borderId="0" fillId="2" fontId="2" numFmtId="0" xfId="0" applyAlignment="1" applyFont="1">
      <alignment vertical="bottom"/>
    </xf>
    <xf borderId="1" fillId="2" fontId="9" numFmtId="164" xfId="0" applyAlignment="1" applyBorder="1" applyFont="1" applyNumberFormat="1">
      <alignment vertical="bottom"/>
    </xf>
    <xf borderId="0" fillId="4" fontId="2" numFmtId="0" xfId="0" applyAlignment="1" applyFont="1">
      <alignment vertical="bottom"/>
    </xf>
    <xf borderId="1" fillId="4" fontId="9" numFmtId="164" xfId="0" applyAlignment="1" applyBorder="1" applyFont="1" applyNumberFormat="1">
      <alignment vertical="bottom"/>
    </xf>
    <xf borderId="1" fillId="4" fontId="9" numFmtId="0" xfId="0" applyAlignment="1" applyBorder="1" applyFont="1">
      <alignment vertical="bottom"/>
    </xf>
    <xf borderId="0" fillId="4" fontId="2" numFmtId="164" xfId="0" applyAlignment="1" applyFont="1" applyNumberFormat="1">
      <alignment vertical="bottom"/>
    </xf>
    <xf borderId="1" fillId="2" fontId="9" numFmtId="0" xfId="0" applyAlignment="1" applyBorder="1" applyFont="1">
      <alignment vertical="bottom"/>
    </xf>
    <xf borderId="0" fillId="2" fontId="2" numFmtId="164" xfId="0" applyAlignment="1" applyFont="1" applyNumberFormat="1">
      <alignment vertical="bottom"/>
    </xf>
    <xf borderId="0" fillId="5" fontId="2" numFmtId="0" xfId="0" applyAlignment="1" applyFill="1" applyFont="1">
      <alignment vertical="bottom"/>
    </xf>
    <xf borderId="1" fillId="5" fontId="2" numFmtId="0" xfId="0" applyAlignment="1" applyBorder="1" applyFont="1">
      <alignment vertical="bottom"/>
    </xf>
    <xf borderId="0" fillId="5" fontId="10" numFmtId="164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9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11" numFmtId="164" xfId="0" applyAlignment="1" applyFont="1" applyNumberFormat="1">
      <alignment horizontal="right" vertical="bottom"/>
    </xf>
    <xf borderId="0" fillId="4" fontId="9" numFmtId="164" xfId="0" applyAlignment="1" applyFont="1" applyNumberFormat="1">
      <alignment vertical="bottom"/>
    </xf>
    <xf borderId="0" fillId="2" fontId="9" numFmtId="164" xfId="0" applyAlignment="1" applyFont="1" applyNumberFormat="1">
      <alignment vertical="bottom"/>
    </xf>
    <xf borderId="0" fillId="2" fontId="9" numFmtId="0" xfId="0" applyAlignment="1" applyFont="1">
      <alignment vertical="bottom"/>
    </xf>
    <xf borderId="0" fillId="4" fontId="9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2" numFmtId="165" xfId="0" applyAlignment="1" applyFont="1" applyNumberFormat="1">
      <alignment horizontal="left" vertical="bottom"/>
    </xf>
    <xf borderId="0" fillId="2" fontId="2" numFmtId="0" xfId="0" applyAlignment="1" applyFont="1">
      <alignment readingOrder="0" vertical="bottom"/>
    </xf>
    <xf borderId="0" fillId="5" fontId="13" numFmtId="164" xfId="0" applyAlignment="1" applyFont="1" applyNumberFormat="1">
      <alignment horizontal="right" vertical="bottom"/>
    </xf>
    <xf borderId="1" fillId="2" fontId="2" numFmtId="0" xfId="0" applyAlignment="1" applyBorder="1" applyFont="1">
      <alignment vertical="bottom"/>
    </xf>
    <xf borderId="1" fillId="4" fontId="2" numFmtId="0" xfId="0" applyAlignment="1" applyBorder="1" applyFont="1">
      <alignment vertical="bottom"/>
    </xf>
    <xf borderId="0" fillId="2" fontId="13" numFmtId="164" xfId="0" applyAlignment="1" applyFont="1" applyNumberFormat="1">
      <alignment horizontal="right" vertical="bottom"/>
    </xf>
    <xf borderId="0" fillId="2" fontId="11" numFmtId="164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6" fontId="2" numFmtId="0" xfId="0" applyAlignment="1" applyFill="1" applyFont="1">
      <alignment vertical="bottom"/>
    </xf>
    <xf borderId="0" fillId="0" fontId="2" numFmtId="166" xfId="0" applyAlignment="1" applyFont="1" applyNumberFormat="1">
      <alignment vertical="bottom"/>
    </xf>
    <xf borderId="0" fillId="6" fontId="2" numFmtId="164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9" numFmtId="164" xfId="0" applyAlignment="1" applyFont="1" applyNumberFormat="1">
      <alignment horizontal="right" readingOrder="0" vertical="bottom"/>
    </xf>
    <xf borderId="0" fillId="6" fontId="9" numFmtId="164" xfId="0" applyAlignment="1" applyFont="1" applyNumberFormat="1">
      <alignment horizontal="right" vertical="bottom"/>
    </xf>
    <xf borderId="0" fillId="0" fontId="2" numFmtId="10" xfId="0" applyAlignment="1" applyFont="1" applyNumberFormat="1">
      <alignment vertical="bottom"/>
    </xf>
    <xf borderId="0" fillId="7" fontId="9" numFmtId="164" xfId="0" applyAlignment="1" applyFill="1" applyFont="1" applyNumberFormat="1">
      <alignment horizontal="right" readingOrder="0" vertical="bottom"/>
    </xf>
    <xf borderId="0" fillId="0" fontId="9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9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14" numFmtId="0" xfId="0" applyAlignment="1" applyFont="1">
      <alignment readingOrder="0"/>
    </xf>
    <xf borderId="0" fillId="0" fontId="9" numFmtId="164" xfId="0" applyAlignment="1" applyFont="1" applyNumberFormat="1">
      <alignment vertical="bottom"/>
    </xf>
    <xf borderId="0" fillId="0" fontId="9" numFmtId="0" xfId="0" applyAlignment="1" applyFont="1">
      <alignment vertical="bottom"/>
    </xf>
    <xf borderId="0" fillId="6" fontId="9" numFmtId="164" xfId="0" applyAlignment="1" applyFont="1" applyNumberFormat="1">
      <alignment vertical="bottom"/>
    </xf>
    <xf borderId="0" fillId="0" fontId="2" numFmtId="0" xfId="0" applyAlignment="1" applyFont="1">
      <alignment horizontal="right" readingOrder="0" vertical="bottom"/>
    </xf>
    <xf borderId="0" fillId="2" fontId="15" numFmtId="164" xfId="0" applyAlignment="1" applyFont="1" applyNumberFormat="1">
      <alignment horizontal="right" vertical="bottom"/>
    </xf>
    <xf borderId="0" fillId="2" fontId="15" numFmtId="164" xfId="0" applyAlignment="1" applyFont="1" applyNumberFormat="1">
      <alignment horizontal="right" readingOrder="0" vertical="bottom"/>
    </xf>
    <xf borderId="0" fillId="0" fontId="16" numFmtId="0" xfId="0" applyAlignment="1" applyFont="1">
      <alignment vertical="bottom"/>
    </xf>
    <xf borderId="0" fillId="0" fontId="17" numFmtId="164" xfId="0" applyAlignment="1" applyFont="1" applyNumberFormat="1">
      <alignment horizontal="right" vertical="bottom"/>
    </xf>
    <xf borderId="0" fillId="0" fontId="15" numFmtId="164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readingOrder="0" vertical="bottom"/>
    </xf>
    <xf borderId="0" fillId="0" fontId="9" numFmtId="0" xfId="0" applyAlignment="1" applyFont="1">
      <alignment readingOrder="0" vertical="bottom"/>
    </xf>
    <xf borderId="0" fillId="6" fontId="9" numFmtId="0" xfId="0" applyAlignment="1" applyFont="1">
      <alignment vertical="bottom"/>
    </xf>
    <xf borderId="0" fillId="0" fontId="9" numFmtId="166" xfId="0" applyAlignment="1" applyFont="1" applyNumberFormat="1">
      <alignment vertical="bottom"/>
    </xf>
    <xf borderId="0" fillId="0" fontId="9" numFmtId="0" xfId="0" applyAlignment="1" applyFont="1">
      <alignment horizontal="right" vertical="bottom"/>
    </xf>
    <xf borderId="0" fillId="0" fontId="9" numFmtId="10" xfId="0" applyAlignment="1" applyFont="1" applyNumberFormat="1">
      <alignment vertical="bottom"/>
    </xf>
    <xf borderId="0" fillId="0" fontId="9" numFmtId="0" xfId="0" applyAlignment="1" applyFont="1">
      <alignment horizontal="right" readingOrder="0" vertical="bottom"/>
    </xf>
    <xf borderId="0" fillId="0" fontId="18" numFmtId="0" xfId="0" applyAlignment="1" applyFont="1">
      <alignment vertical="bottom"/>
    </xf>
    <xf borderId="0" fillId="0" fontId="9" numFmtId="0" xfId="0" applyFont="1"/>
    <xf borderId="0" fillId="8" fontId="14" numFmtId="0" xfId="0" applyFill="1" applyFont="1"/>
    <xf borderId="0" fillId="0" fontId="17" numFmtId="164" xfId="0" applyAlignment="1" applyFont="1" applyNumberFormat="1">
      <alignment horizontal="right" readingOrder="0" vertical="bottom"/>
    </xf>
    <xf borderId="0" fillId="9" fontId="2" numFmtId="0" xfId="0" applyAlignment="1" applyFill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horizontal="right" vertical="bottom"/>
    </xf>
    <xf borderId="0" fillId="9" fontId="2" numFmtId="164" xfId="0" applyAlignment="1" applyFont="1" applyNumberFormat="1">
      <alignment horizontal="right" vertical="bottom"/>
    </xf>
    <xf borderId="0" fillId="2" fontId="2" numFmtId="167" xfId="0" applyAlignment="1" applyFont="1" applyNumberFormat="1">
      <alignment vertical="bottom"/>
    </xf>
    <xf borderId="0" fillId="0" fontId="2" numFmtId="164" xfId="0" applyAlignment="1" applyFont="1" applyNumberFormat="1">
      <alignment horizontal="right" readingOrder="0" vertical="bottom"/>
    </xf>
    <xf borderId="0" fillId="2" fontId="2" numFmtId="168" xfId="0" applyAlignment="1" applyFont="1" applyNumberFormat="1">
      <alignment vertical="bottom"/>
    </xf>
    <xf borderId="0" fillId="2" fontId="2" numFmtId="167" xfId="0" applyAlignment="1" applyFont="1" applyNumberFormat="1">
      <alignment readingOrder="0" vertical="bottom"/>
    </xf>
    <xf borderId="0" fillId="2" fontId="2" numFmtId="168" xfId="0" applyAlignment="1" applyFont="1" applyNumberFormat="1">
      <alignment readingOrder="0" vertical="bottom"/>
    </xf>
    <xf borderId="0" fillId="0" fontId="2" numFmtId="14" xfId="0" applyAlignment="1" applyFont="1" applyNumberFormat="1">
      <alignment readingOrder="0" vertical="bottom"/>
    </xf>
    <xf borderId="0" fillId="0" fontId="2" numFmtId="14" xfId="0" applyAlignment="1" applyFont="1" applyNumberFormat="1">
      <alignment readingOrder="0" vertical="bottom"/>
    </xf>
    <xf borderId="0" fillId="9" fontId="2" numFmtId="164" xfId="0" applyAlignment="1" applyFont="1" applyNumberFormat="1">
      <alignment vertical="bottom"/>
    </xf>
    <xf borderId="0" fillId="0" fontId="2" numFmtId="14" xfId="0" applyAlignment="1" applyFont="1" applyNumberFormat="1">
      <alignment vertical="bottom"/>
    </xf>
    <xf borderId="0" fillId="9" fontId="19" numFmtId="164" xfId="0" applyAlignment="1" applyFont="1" applyNumberFormat="1">
      <alignment horizontal="right" readingOrder="0" vertical="bottom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2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3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4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5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6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7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8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9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10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11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12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13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26.xml"/><Relationship Id="rId3" Type="http://schemas.openxmlformats.org/officeDocument/2006/relationships/vmlDrawing" Target="../drawings/vmlDrawing14.v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27.xml"/><Relationship Id="rId3" Type="http://schemas.openxmlformats.org/officeDocument/2006/relationships/vmlDrawing" Target="../drawings/vmlDrawing15.v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28.xml"/><Relationship Id="rId3" Type="http://schemas.openxmlformats.org/officeDocument/2006/relationships/vmlDrawing" Target="../drawings/vmlDrawing16.v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29.xml"/><Relationship Id="rId3" Type="http://schemas.openxmlformats.org/officeDocument/2006/relationships/vmlDrawing" Target="../drawings/vmlDrawing17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30.xml"/><Relationship Id="rId3" Type="http://schemas.openxmlformats.org/officeDocument/2006/relationships/vmlDrawing" Target="../drawings/vmlDrawing18.v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31.xml"/><Relationship Id="rId3" Type="http://schemas.openxmlformats.org/officeDocument/2006/relationships/vmlDrawing" Target="../drawings/vmlDrawing19.v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32.xml"/><Relationship Id="rId3" Type="http://schemas.openxmlformats.org/officeDocument/2006/relationships/vmlDrawing" Target="../drawings/vmlDrawing20.v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33.xml"/><Relationship Id="rId3" Type="http://schemas.openxmlformats.org/officeDocument/2006/relationships/vmlDrawing" Target="../drawings/vmlDrawing21.v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drawing" Target="../drawings/drawing34.xml"/><Relationship Id="rId3" Type="http://schemas.openxmlformats.org/officeDocument/2006/relationships/vmlDrawing" Target="../drawings/vmlDrawing22.v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drawing" Target="../drawings/drawing35.xml"/><Relationship Id="rId3" Type="http://schemas.openxmlformats.org/officeDocument/2006/relationships/vmlDrawing" Target="../drawings/vmlDrawing23.v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drawing" Target="../drawings/drawing36.xml"/><Relationship Id="rId3" Type="http://schemas.openxmlformats.org/officeDocument/2006/relationships/vmlDrawing" Target="../drawings/vmlDrawing24.v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37.0"/>
    <col customWidth="1" min="3" max="3" width="18.25"/>
    <col customWidth="1" min="4" max="4" width="6.25"/>
    <col customWidth="1" min="5" max="5" width="28.38"/>
    <col customWidth="1" min="6" max="6" width="23.25"/>
  </cols>
  <sheetData>
    <row r="1" ht="15.75" customHeight="1">
      <c r="A1" s="1" t="s">
        <v>0</v>
      </c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5.75" customHeight="1">
      <c r="A2" s="4" t="s">
        <v>1</v>
      </c>
      <c r="G2" s="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5.75" customHeight="1">
      <c r="A3" s="3"/>
      <c r="B3" s="3"/>
      <c r="C3" s="3"/>
      <c r="D3" s="3"/>
      <c r="E3" s="3"/>
      <c r="F3" s="3"/>
      <c r="G3" s="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5.75" customHeight="1">
      <c r="A4" s="6" t="s">
        <v>2</v>
      </c>
      <c r="C4" s="7"/>
      <c r="D4" s="6" t="s">
        <v>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5.75" customHeight="1">
      <c r="A5" s="8" t="s">
        <v>4</v>
      </c>
      <c r="B5" s="8" t="s">
        <v>5</v>
      </c>
      <c r="C5" s="9" t="s">
        <v>6</v>
      </c>
      <c r="D5" s="8" t="s">
        <v>4</v>
      </c>
      <c r="E5" s="10" t="s">
        <v>5</v>
      </c>
      <c r="F5" s="8" t="s">
        <v>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15.75" customHeight="1">
      <c r="A6" s="11" t="str">
        <f>IFERROR(__xludf.DUMMYFUNCTION("QUERY('+Jan'!A65:H79, ""SELECT Col1, Col2, Col8 where Col8 &gt; 0"", 1)"),"1")</f>
        <v>1</v>
      </c>
      <c r="B6" s="12" t="str">
        <f>IFERROR(__xludf.DUMMYFUNCTION("""COMPUTED_VALUE"""),"Pak Heri Wurdi (Jan 2026 - Des 2026)")</f>
        <v>Pak Heri Wurdi (Jan 2026 - Des 2026)</v>
      </c>
      <c r="C6" s="13" t="str">
        <f>IFERROR(__xludf.DUMMYFUNCTION("""COMPUTED_VALUE""")," Rp 660.000 ")</f>
        <v> Rp 660.000 </v>
      </c>
      <c r="D6" s="11">
        <f>IFERROR(__xludf.DUMMYFUNCTION("QUERY('-Jan'!A2:H34, ""SELECT Col1, Col2, Col8 where Col8 &gt; 0"")"),1.0)</f>
        <v>1</v>
      </c>
      <c r="E6" s="14" t="str">
        <f>IFERROR(__xludf.DUMMYFUNCTION("""COMPUTED_VALUE"""),"Iuran Penjaga Keamanan")</f>
        <v>Iuran Penjaga Keamanan</v>
      </c>
      <c r="F6" s="15">
        <f>IFERROR(__xludf.DUMMYFUNCTION("""COMPUTED_VALUE"""),600000.0)</f>
        <v>600000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15.75" customHeight="1">
      <c r="A7" s="16">
        <f>IFERROR(__xludf.DUMMYFUNCTION("""COMPUTED_VALUE"""),2.0)</f>
        <v>2</v>
      </c>
      <c r="B7" s="17" t="str">
        <f>IFERROR(__xludf.DUMMYFUNCTION("""COMPUTED_VALUE"""),"Wat Tak (Jan 2026 - Des 2026)")</f>
        <v>Wat Tak (Jan 2026 - Des 2026)</v>
      </c>
      <c r="C7" s="18">
        <f>IFERROR(__xludf.DUMMYFUNCTION("""COMPUTED_VALUE"""),655000.0)</f>
        <v>655000</v>
      </c>
      <c r="D7" s="19">
        <f>IFERROR(__xludf.DUMMYFUNCTION("""COMPUTED_VALUE"""),2.0)</f>
        <v>2</v>
      </c>
      <c r="E7" s="20" t="str">
        <f>IFERROR(__xludf.DUMMYFUNCTION("""COMPUTED_VALUE"""),"Iuran Retribusi Sampah")</f>
        <v>Iuran Retribusi Sampah</v>
      </c>
      <c r="F7" s="21">
        <f>IFERROR(__xludf.DUMMYFUNCTION("""COMPUTED_VALUE"""),75000.0)</f>
        <v>75000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15.75" customHeight="1">
      <c r="A8" s="22">
        <f>IFERROR(__xludf.DUMMYFUNCTION("""COMPUTED_VALUE"""),3.0)</f>
        <v>3</v>
      </c>
      <c r="B8" s="12" t="str">
        <f>IFERROR(__xludf.DUMMYFUNCTION("""COMPUTED_VALUE"""),"Total Dama Bu Ifa")</f>
        <v>Total Dama Bu Ifa</v>
      </c>
      <c r="C8" s="13">
        <f>IFERROR(__xludf.DUMMYFUNCTION("""COMPUTED_VALUE"""),790000.0)</f>
        <v>790000</v>
      </c>
      <c r="D8" s="22">
        <f>IFERROR(__xludf.DUMMYFUNCTION("""COMPUTED_VALUE"""),3.0)</f>
        <v>3</v>
      </c>
      <c r="E8" s="14" t="str">
        <f>IFERROR(__xludf.DUMMYFUNCTION("""COMPUTED_VALUE"""),"Iuran Tukang Sampah")</f>
        <v>Iuran Tukang Sampah</v>
      </c>
      <c r="F8" s="15">
        <f>IFERROR(__xludf.DUMMYFUNCTION("""COMPUTED_VALUE"""),750000.0)</f>
        <v>750000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5.75" customHeight="1">
      <c r="A9" s="23">
        <f>IFERROR(__xludf.DUMMYFUNCTION("""COMPUTED_VALUE"""),4.0)</f>
        <v>4</v>
      </c>
      <c r="B9" s="17" t="str">
        <f>IFERROR(__xludf.DUMMYFUNCTION("""COMPUTED_VALUE"""),"Total Dama Bu Nur")</f>
        <v>Total Dama Bu Nur</v>
      </c>
      <c r="C9" s="24">
        <f>IFERROR(__xludf.DUMMYFUNCTION("""COMPUTED_VALUE"""),700000.0)</f>
        <v>700000</v>
      </c>
      <c r="D9" s="23">
        <f>IFERROR(__xludf.DUMMYFUNCTION("""COMPUTED_VALUE"""),4.0)</f>
        <v>4</v>
      </c>
      <c r="E9" s="20" t="str">
        <f>IFERROR(__xludf.DUMMYFUNCTION("""COMPUTED_VALUE"""),"Setor Rukem (Jan - Feb)")</f>
        <v>Setor Rukem (Jan - Feb)</v>
      </c>
      <c r="F9" s="21">
        <f>IFERROR(__xludf.DUMMYFUNCTION("""COMPUTED_VALUE"""),400000.0)</f>
        <v>400000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5.75" customHeight="1">
      <c r="A10" s="25">
        <f>IFERROR(__xludf.DUMMYFUNCTION("""COMPUTED_VALUE"""),5.0)</f>
        <v>5</v>
      </c>
      <c r="B10" s="25" t="str">
        <f>IFERROR(__xludf.DUMMYFUNCTION("""COMPUTED_VALUE"""),"Total Dama Bu Desi")</f>
        <v>Total Dama Bu Desi</v>
      </c>
      <c r="C10" s="26">
        <f>IFERROR(__xludf.DUMMYFUNCTION("""COMPUTED_VALUE"""),600000.0)</f>
        <v>600000</v>
      </c>
      <c r="D10" s="25">
        <f>IFERROR(__xludf.DUMMYFUNCTION("""COMPUTED_VALUE"""),5.0)</f>
        <v>5</v>
      </c>
      <c r="E10" s="25" t="str">
        <f>IFERROR(__xludf.DUMMYFUNCTION("""COMPUTED_VALUE"""),"Setor RW (Jan - Feb)")</f>
        <v>Setor RW (Jan - Feb)</v>
      </c>
      <c r="F10" s="15">
        <f>IFERROR(__xludf.DUMMYFUNCTION("""COMPUTED_VALUE"""),200000.0)</f>
        <v>200000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5.75" customHeight="1">
      <c r="A11" s="23">
        <f>IFERROR(__xludf.DUMMYFUNCTION("""COMPUTED_VALUE"""),6.0)</f>
        <v>6</v>
      </c>
      <c r="B11" s="23" t="str">
        <f>IFERROR(__xludf.DUMMYFUNCTION("""COMPUTED_VALUE"""),"Saldo Sebelumnya")</f>
        <v>Saldo Sebelumnya</v>
      </c>
      <c r="C11" s="24">
        <f>IFERROR(__xludf.DUMMYFUNCTION("""COMPUTED_VALUE"""),1.3366E7)</f>
        <v>13366000</v>
      </c>
      <c r="D11" s="23">
        <f>IFERROR(__xludf.DUMMYFUNCTION("""COMPUTED_VALUE"""),6.0)</f>
        <v>6</v>
      </c>
      <c r="E11" s="23" t="str">
        <f>IFERROR(__xludf.DUMMYFUNCTION("""COMPUTED_VALUE"""),"Iuran Rapat RT")</f>
        <v>Iuran Rapat RT</v>
      </c>
      <c r="F11" s="21">
        <f>IFERROR(__xludf.DUMMYFUNCTION("""COMPUTED_VALUE"""),150000.0)</f>
        <v>150000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15.75" customHeight="1">
      <c r="A12" s="25"/>
      <c r="B12" s="25"/>
      <c r="C12" s="27"/>
      <c r="D12" s="25"/>
      <c r="E12" s="25"/>
      <c r="F12" s="28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15.75" customHeight="1">
      <c r="A13" s="23"/>
      <c r="B13" s="23"/>
      <c r="C13" s="29"/>
      <c r="D13" s="23"/>
      <c r="E13" s="23"/>
      <c r="F13" s="30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5.75" customHeight="1">
      <c r="A14" s="25"/>
      <c r="B14" s="25"/>
      <c r="C14" s="27"/>
      <c r="D14" s="25"/>
      <c r="E14" s="25"/>
      <c r="F14" s="28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5.75" customHeight="1">
      <c r="A15" s="23"/>
      <c r="B15" s="23"/>
      <c r="C15" s="29"/>
      <c r="D15" s="23"/>
      <c r="E15" s="23"/>
      <c r="F15" s="30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5.75" customHeight="1">
      <c r="A16" s="25"/>
      <c r="B16" s="25"/>
      <c r="C16" s="27"/>
      <c r="D16" s="25"/>
      <c r="E16" s="25"/>
      <c r="F16" s="28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5.75" customHeight="1">
      <c r="A17" s="23"/>
      <c r="B17" s="23"/>
      <c r="C17" s="29"/>
      <c r="D17" s="23"/>
      <c r="E17" s="23"/>
      <c r="F17" s="30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15.75" customHeight="1">
      <c r="A18" s="25"/>
      <c r="B18" s="25"/>
      <c r="C18" s="27"/>
      <c r="D18" s="25"/>
      <c r="E18" s="25"/>
      <c r="F18" s="28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5.75" customHeight="1">
      <c r="A19" s="23"/>
      <c r="B19" s="23"/>
      <c r="C19" s="29"/>
      <c r="D19" s="23"/>
      <c r="E19" s="23"/>
      <c r="F19" s="30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5.75" customHeight="1">
      <c r="A20" s="25"/>
      <c r="B20" s="25"/>
      <c r="C20" s="27"/>
      <c r="D20" s="25"/>
      <c r="E20" s="25"/>
      <c r="F20" s="28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5.75" customHeight="1">
      <c r="A21" s="23"/>
      <c r="B21" s="23"/>
      <c r="C21" s="29"/>
      <c r="D21" s="23"/>
      <c r="E21" s="23"/>
      <c r="F21" s="30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5.75" customHeight="1">
      <c r="A22" s="25"/>
      <c r="B22" s="25"/>
      <c r="C22" s="27"/>
      <c r="D22" s="25"/>
      <c r="E22" s="25"/>
      <c r="F22" s="28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5.75" customHeight="1">
      <c r="A23" s="23"/>
      <c r="B23" s="23"/>
      <c r="C23" s="29"/>
      <c r="D23" s="23"/>
      <c r="E23" s="23"/>
      <c r="F23" s="2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5.75" customHeight="1">
      <c r="A24" s="25"/>
      <c r="B24" s="25"/>
      <c r="C24" s="27"/>
      <c r="D24" s="25"/>
      <c r="E24" s="25"/>
      <c r="F24" s="25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5.75" customHeight="1">
      <c r="A25" s="23"/>
      <c r="B25" s="23"/>
      <c r="C25" s="29"/>
      <c r="D25" s="23"/>
      <c r="E25" s="23"/>
      <c r="F25" s="2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5.75" customHeight="1">
      <c r="A26" s="25"/>
      <c r="B26" s="25" t="s">
        <v>8</v>
      </c>
      <c r="C26" s="13">
        <f>SUM(C6:C22)</f>
        <v>16111000</v>
      </c>
      <c r="D26" s="25"/>
      <c r="E26" s="25" t="s">
        <v>9</v>
      </c>
      <c r="F26" s="15">
        <f>SUM(F6:F22)</f>
        <v>2175000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5.75" customHeight="1">
      <c r="A27" s="31"/>
      <c r="B27" s="31"/>
      <c r="C27" s="32"/>
      <c r="D27" s="31"/>
      <c r="E27" s="31" t="s">
        <v>10</v>
      </c>
      <c r="F27" s="33">
        <f>SUM(C26-F26)</f>
        <v>13936000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5.75" customHeight="1">
      <c r="A32" s="3"/>
      <c r="B32" s="34" t="s">
        <v>11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5.75" customHeight="1">
      <c r="A33" s="3"/>
      <c r="B33" s="17" t="s">
        <v>12</v>
      </c>
      <c r="C33" s="35">
        <f>'+Jan'!C80 - '-Jan'!C35</f>
        <v>6379500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5.75" customHeight="1">
      <c r="A34" s="3"/>
      <c r="B34" s="3" t="s">
        <v>13</v>
      </c>
      <c r="C34" s="35">
        <f>'+Jan'!D80 - '-Jan'!D35</f>
        <v>1407000</v>
      </c>
      <c r="D34" s="3"/>
      <c r="E34" s="3"/>
      <c r="F34" s="3"/>
      <c r="G34" s="3"/>
      <c r="H34" s="36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5.75" customHeight="1">
      <c r="A35" s="3"/>
      <c r="B35" s="3" t="s">
        <v>14</v>
      </c>
      <c r="C35" s="35">
        <f>'+Jan'!E80 - '-Jan'!E35</f>
        <v>3123500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5.75" customHeight="1">
      <c r="A36" s="3"/>
      <c r="B36" s="3" t="s">
        <v>15</v>
      </c>
      <c r="C36" s="35">
        <f>'+Jan'!F80 - '-Jan'!F35</f>
        <v>942500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5.75" customHeight="1">
      <c r="A37" s="3"/>
      <c r="B37" s="3" t="s">
        <v>16</v>
      </c>
      <c r="C37" s="35">
        <f>'+Jan'!G80 - '-Jan'!G36</f>
        <v>2083500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5.75" customHeight="1">
      <c r="A38" s="3"/>
      <c r="B38" s="34" t="s">
        <v>17</v>
      </c>
      <c r="C38" s="37">
        <f>SUM(C33:C37)</f>
        <v>13936000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5.75" customHeight="1">
      <c r="A54" s="3"/>
      <c r="B54" s="2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C4"/>
    <mergeCell ref="D4:F4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25.5"/>
    <col customWidth="1" min="3" max="3" width="19.0"/>
    <col customWidth="1" min="4" max="4" width="6.25"/>
    <col customWidth="1" min="5" max="5" width="19.5"/>
    <col customWidth="1" min="6" max="6" width="23.25"/>
  </cols>
  <sheetData>
    <row r="1" ht="15.75" customHeight="1">
      <c r="A1" s="1" t="s">
        <v>0</v>
      </c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5.75" customHeight="1">
      <c r="A2" s="4" t="s">
        <v>18</v>
      </c>
      <c r="G2" s="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5.75" customHeight="1">
      <c r="A3" s="3"/>
      <c r="B3" s="3"/>
      <c r="C3" s="3"/>
      <c r="D3" s="3"/>
      <c r="E3" s="3"/>
      <c r="F3" s="3"/>
      <c r="G3" s="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5.75" customHeight="1">
      <c r="A4" s="6" t="s">
        <v>2</v>
      </c>
      <c r="C4" s="7"/>
      <c r="D4" s="6" t="s">
        <v>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5.75" customHeight="1">
      <c r="A5" s="8" t="s">
        <v>4</v>
      </c>
      <c r="B5" s="8" t="s">
        <v>5</v>
      </c>
      <c r="C5" s="9" t="s">
        <v>6</v>
      </c>
      <c r="D5" s="8" t="s">
        <v>4</v>
      </c>
      <c r="E5" s="10" t="s">
        <v>5</v>
      </c>
      <c r="F5" s="8" t="s">
        <v>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15.75" customHeight="1">
      <c r="A6" s="11" t="str">
        <f>IFERROR(__xludf.DUMMYFUNCTION("QUERY('+Feb'!A65:H79, ""SELECT Col1, Col2, Col8 where Col8 &gt; 0"", 1)"),"1")</f>
        <v>1</v>
      </c>
      <c r="B6" s="12" t="str">
        <f>IFERROR(__xludf.DUMMYFUNCTION("""COMPUTED_VALUE"""),"Pak Sulton (Jan 2026 - Juli 2026)")</f>
        <v>Pak Sulton (Jan 2026 - Juli 2026)</v>
      </c>
      <c r="C6" s="13" t="str">
        <f>IFERROR(__xludf.DUMMYFUNCTION("""COMPUTED_VALUE""")," Rp 330.000 ")</f>
        <v> Rp 330.000 </v>
      </c>
      <c r="D6" s="11">
        <f>IFERROR(__xludf.DUMMYFUNCTION("QUERY('-Feb'!A2:H34, ""SELECT Col1, Col2, Col8 where Col8 &gt; 0"")"),1.0)</f>
        <v>1</v>
      </c>
      <c r="E6" s="14" t="str">
        <f>IFERROR(__xludf.DUMMYFUNCTION("""COMPUTED_VALUE"""),"Iuran Penjaga Keamanan")</f>
        <v>Iuran Penjaga Keamanan</v>
      </c>
      <c r="F6" s="15">
        <f>IFERROR(__xludf.DUMMYFUNCTION("""COMPUTED_VALUE"""),600000.0)</f>
        <v>600000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15.75" customHeight="1">
      <c r="A7" s="16">
        <f>IFERROR(__xludf.DUMMYFUNCTION("""COMPUTED_VALUE"""),2.0)</f>
        <v>2</v>
      </c>
      <c r="B7" s="17" t="str">
        <f>IFERROR(__xludf.DUMMYFUNCTION("""COMPUTED_VALUE"""),"Khotti (Jan 2026 - Des 2026)")</f>
        <v>Khotti (Jan 2026 - Des 2026)</v>
      </c>
      <c r="C7" s="18">
        <f>IFERROR(__xludf.DUMMYFUNCTION("""COMPUTED_VALUE"""),660000.0)</f>
        <v>660000</v>
      </c>
      <c r="D7" s="19">
        <f>IFERROR(__xludf.DUMMYFUNCTION("""COMPUTED_VALUE"""),2.0)</f>
        <v>2</v>
      </c>
      <c r="E7" s="20" t="str">
        <f>IFERROR(__xludf.DUMMYFUNCTION("""COMPUTED_VALUE"""),"Iuran Retribusi Sampah")</f>
        <v>Iuran Retribusi Sampah</v>
      </c>
      <c r="F7" s="21">
        <f>IFERROR(__xludf.DUMMYFUNCTION("""COMPUTED_VALUE"""),75000.0)</f>
        <v>75000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15.75" customHeight="1">
      <c r="A8" s="22">
        <f>IFERROR(__xludf.DUMMYFUNCTION("""COMPUTED_VALUE"""),3.0)</f>
        <v>3</v>
      </c>
      <c r="B8" s="12" t="str">
        <f>IFERROR(__xludf.DUMMYFUNCTION("""COMPUTED_VALUE"""),"Yunita (Jan 2026 - Des 2026)")</f>
        <v>Yunita (Jan 2026 - Des 2026)</v>
      </c>
      <c r="C8" s="13">
        <f>IFERROR(__xludf.DUMMYFUNCTION("""COMPUTED_VALUE"""),660000.0)</f>
        <v>660000</v>
      </c>
      <c r="D8" s="22">
        <f>IFERROR(__xludf.DUMMYFUNCTION("""COMPUTED_VALUE"""),3.0)</f>
        <v>3</v>
      </c>
      <c r="E8" s="14" t="str">
        <f>IFERROR(__xludf.DUMMYFUNCTION("""COMPUTED_VALUE"""),"Iuran Tukang Sampah")</f>
        <v>Iuran Tukang Sampah</v>
      </c>
      <c r="F8" s="15">
        <f>IFERROR(__xludf.DUMMYFUNCTION("""COMPUTED_VALUE"""),750000.0)</f>
        <v>750000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5.75" customHeight="1">
      <c r="A9" s="23">
        <f>IFERROR(__xludf.DUMMYFUNCTION("""COMPUTED_VALUE"""),4.0)</f>
        <v>4</v>
      </c>
      <c r="B9" s="17" t="str">
        <f>IFERROR(__xludf.DUMMYFUNCTION("""COMPUTED_VALUE"""),"Total Dama Bu Ifa")</f>
        <v>Total Dama Bu Ifa</v>
      </c>
      <c r="C9" s="24">
        <f>IFERROR(__xludf.DUMMYFUNCTION("""COMPUTED_VALUE"""),920000.0)</f>
        <v>920000</v>
      </c>
      <c r="D9" s="23">
        <f>IFERROR(__xludf.DUMMYFUNCTION("""COMPUTED_VALUE"""),4.0)</f>
        <v>4</v>
      </c>
      <c r="E9" s="20" t="str">
        <f>IFERROR(__xludf.DUMMYFUNCTION("""COMPUTED_VALUE"""),"THR Tukang Sampah")</f>
        <v>THR Tukang Sampah</v>
      </c>
      <c r="F9" s="21">
        <f>IFERROR(__xludf.DUMMYFUNCTION("""COMPUTED_VALUE"""),750000.0)</f>
        <v>750000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5.75" customHeight="1">
      <c r="A10" s="25">
        <f>IFERROR(__xludf.DUMMYFUNCTION("""COMPUTED_VALUE"""),5.0)</f>
        <v>5</v>
      </c>
      <c r="B10" s="25" t="str">
        <f>IFERROR(__xludf.DUMMYFUNCTION("""COMPUTED_VALUE"""),"Total Dama Bu Nur")</f>
        <v>Total Dama Bu Nur</v>
      </c>
      <c r="C10" s="26">
        <f>IFERROR(__xludf.DUMMYFUNCTION("""COMPUTED_VALUE"""),770000.0)</f>
        <v>770000</v>
      </c>
      <c r="D10" s="25">
        <f>IFERROR(__xludf.DUMMYFUNCTION("""COMPUTED_VALUE"""),5.0)</f>
        <v>5</v>
      </c>
      <c r="E10" s="25" t="str">
        <f>IFERROR(__xludf.DUMMYFUNCTION("""COMPUTED_VALUE"""),"THR Keamanan")</f>
        <v>THR Keamanan</v>
      </c>
      <c r="F10" s="15">
        <f>IFERROR(__xludf.DUMMYFUNCTION("""COMPUTED_VALUE"""),600000.0)</f>
        <v>600000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5.75" customHeight="1">
      <c r="A11" s="23">
        <f>IFERROR(__xludf.DUMMYFUNCTION("""COMPUTED_VALUE"""),6.0)</f>
        <v>6</v>
      </c>
      <c r="B11" s="23" t="str">
        <f>IFERROR(__xludf.DUMMYFUNCTION("""COMPUTED_VALUE"""),"Total Dama Bu Desi")</f>
        <v>Total Dama Bu Desi</v>
      </c>
      <c r="C11" s="24">
        <f>IFERROR(__xludf.DUMMYFUNCTION("""COMPUTED_VALUE"""),660000.0)</f>
        <v>660000</v>
      </c>
      <c r="D11" s="23">
        <f>IFERROR(__xludf.DUMMYFUNCTION("""COMPUTED_VALUE"""),6.0)</f>
        <v>6</v>
      </c>
      <c r="E11" s="23" t="str">
        <f>IFERROR(__xludf.DUMMYFUNCTION("""COMPUTED_VALUE"""),"Parcel Lebaran")</f>
        <v>Parcel Lebaran</v>
      </c>
      <c r="F11" s="21">
        <f>IFERROR(__xludf.DUMMYFUNCTION("""COMPUTED_VALUE"""),900000.0)</f>
        <v>900000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15.75" customHeight="1">
      <c r="A12" s="25">
        <f>IFERROR(__xludf.DUMMYFUNCTION("""COMPUTED_VALUE"""),7.0)</f>
        <v>7</v>
      </c>
      <c r="B12" s="25" t="str">
        <f>IFERROR(__xludf.DUMMYFUNCTION("""COMPUTED_VALUE"""),"Saldo Sebelumnya")</f>
        <v>Saldo Sebelumnya</v>
      </c>
      <c r="C12" s="26">
        <f>IFERROR(__xludf.DUMMYFUNCTION("""COMPUTED_VALUE"""),1.3936E7)</f>
        <v>13936000</v>
      </c>
      <c r="D12" s="25"/>
      <c r="E12" s="25"/>
      <c r="F12" s="38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15.75" customHeight="1">
      <c r="A13" s="23"/>
      <c r="B13" s="23"/>
      <c r="C13" s="29"/>
      <c r="D13" s="23"/>
      <c r="E13" s="23"/>
      <c r="F13" s="39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5.75" customHeight="1">
      <c r="A14" s="25"/>
      <c r="B14" s="25"/>
      <c r="C14" s="27"/>
      <c r="D14" s="25"/>
      <c r="E14" s="25"/>
      <c r="F14" s="38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5.75" customHeight="1">
      <c r="A15" s="23"/>
      <c r="B15" s="23"/>
      <c r="C15" s="29"/>
      <c r="D15" s="23"/>
      <c r="E15" s="23"/>
      <c r="F15" s="39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5.75" customHeight="1">
      <c r="A16" s="25"/>
      <c r="B16" s="25"/>
      <c r="C16" s="27"/>
      <c r="D16" s="25"/>
      <c r="E16" s="25"/>
      <c r="F16" s="38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5.75" customHeight="1">
      <c r="A17" s="23"/>
      <c r="B17" s="23"/>
      <c r="C17" s="29"/>
      <c r="D17" s="23"/>
      <c r="E17" s="23"/>
      <c r="F17" s="39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15.75" customHeight="1">
      <c r="A18" s="25"/>
      <c r="B18" s="25"/>
      <c r="C18" s="27"/>
      <c r="D18" s="25"/>
      <c r="E18" s="25"/>
      <c r="F18" s="38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5.75" customHeight="1">
      <c r="A19" s="23"/>
      <c r="B19" s="23"/>
      <c r="C19" s="29"/>
      <c r="D19" s="23"/>
      <c r="E19" s="23"/>
      <c r="F19" s="39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5.75" customHeight="1">
      <c r="A20" s="25"/>
      <c r="B20" s="25"/>
      <c r="C20" s="27"/>
      <c r="D20" s="25"/>
      <c r="E20" s="25"/>
      <c r="F20" s="38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5.75" customHeight="1">
      <c r="A21" s="23"/>
      <c r="B21" s="23"/>
      <c r="C21" s="29"/>
      <c r="D21" s="23"/>
      <c r="E21" s="23"/>
      <c r="F21" s="39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5.75" customHeight="1">
      <c r="A22" s="25"/>
      <c r="B22" s="25"/>
      <c r="C22" s="27"/>
      <c r="D22" s="25"/>
      <c r="E22" s="25"/>
      <c r="F22" s="38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5.75" customHeight="1">
      <c r="A23" s="23"/>
      <c r="B23" s="23"/>
      <c r="C23" s="29"/>
      <c r="D23" s="23"/>
      <c r="E23" s="23"/>
      <c r="F23" s="40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5.75" customHeight="1">
      <c r="A24" s="25"/>
      <c r="B24" s="25"/>
      <c r="C24" s="27"/>
      <c r="D24" s="25"/>
      <c r="E24" s="25"/>
      <c r="F24" s="4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5.75" customHeight="1">
      <c r="A25" s="23"/>
      <c r="B25" s="23"/>
      <c r="C25" s="29"/>
      <c r="D25" s="23"/>
      <c r="E25" s="23"/>
      <c r="F25" s="40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5.75" customHeight="1">
      <c r="A26" s="25"/>
      <c r="B26" s="25" t="s">
        <v>8</v>
      </c>
      <c r="C26" s="13">
        <f>SUM(C6:C22)</f>
        <v>17606000</v>
      </c>
      <c r="D26" s="25"/>
      <c r="E26" s="25" t="s">
        <v>9</v>
      </c>
      <c r="F26" s="15">
        <f>SUM(F6:F22)</f>
        <v>3675000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5.75" customHeight="1">
      <c r="A27" s="31"/>
      <c r="B27" s="31"/>
      <c r="C27" s="32"/>
      <c r="D27" s="31"/>
      <c r="E27" s="31" t="s">
        <v>10</v>
      </c>
      <c r="F27" s="33">
        <f>SUM(C26-F26)</f>
        <v>13931000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5.75" customHeight="1">
      <c r="A32" s="3"/>
      <c r="B32" s="34" t="s">
        <v>11</v>
      </c>
      <c r="C32" s="3"/>
      <c r="D32" s="3"/>
      <c r="E32" s="42" t="s">
        <v>3</v>
      </c>
      <c r="F32" s="42" t="s">
        <v>19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5.75" customHeight="1">
      <c r="A33" s="3"/>
      <c r="B33" s="17" t="s">
        <v>12</v>
      </c>
      <c r="C33" s="35">
        <f>'+Feb'!C80 - '-Feb'!C35</f>
        <v>5949500</v>
      </c>
      <c r="D33" s="3"/>
      <c r="E33" s="43">
        <f>'-Feb'!C35</f>
        <v>2775000</v>
      </c>
      <c r="F33" s="43">
        <f>C33-Jan!C33</f>
        <v>-430000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5.75" customHeight="1">
      <c r="A34" s="3"/>
      <c r="B34" s="3" t="s">
        <v>13</v>
      </c>
      <c r="C34" s="35">
        <f>'+Feb'!D80 - '-Feb'!D35</f>
        <v>1742000</v>
      </c>
      <c r="D34" s="3"/>
      <c r="E34" s="43">
        <f>'-Feb'!D35</f>
        <v>0</v>
      </c>
      <c r="F34" s="43">
        <f>C34-Jan!C34</f>
        <v>335000</v>
      </c>
      <c r="G34" s="3"/>
      <c r="H34" s="36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5.75" customHeight="1">
      <c r="A35" s="3"/>
      <c r="B35" s="3" t="s">
        <v>14</v>
      </c>
      <c r="C35" s="35">
        <f>'+Feb'!E80 - '-Feb'!E35</f>
        <v>2388500</v>
      </c>
      <c r="D35" s="3"/>
      <c r="E35" s="43">
        <f>'-Feb'!E35</f>
        <v>900000</v>
      </c>
      <c r="F35" s="43">
        <f>C35-Jan!C35</f>
        <v>-735000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5.75" customHeight="1">
      <c r="A36" s="3"/>
      <c r="B36" s="3" t="s">
        <v>15</v>
      </c>
      <c r="C36" s="35">
        <f>'+Feb'!F80 - '-Feb'!F35</f>
        <v>1107500</v>
      </c>
      <c r="D36" s="3"/>
      <c r="E36" s="43">
        <f>'-Feb'!F35</f>
        <v>0</v>
      </c>
      <c r="F36" s="43">
        <f>C36-Jan!C36</f>
        <v>165000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5.75" customHeight="1">
      <c r="A37" s="3"/>
      <c r="B37" s="3" t="s">
        <v>16</v>
      </c>
      <c r="C37" s="35">
        <f>'+Feb'!G80 - '-Feb'!G35</f>
        <v>2743500</v>
      </c>
      <c r="D37" s="3"/>
      <c r="E37" s="43">
        <f>'-Feb'!G35</f>
        <v>0</v>
      </c>
      <c r="F37" s="43">
        <f>C37-Jan!C37</f>
        <v>660000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5.75" customHeight="1">
      <c r="A38" s="3"/>
      <c r="B38" s="34" t="s">
        <v>17</v>
      </c>
      <c r="C38" s="37">
        <f>SUM(C33:C37)</f>
        <v>13931000</v>
      </c>
      <c r="D38" s="3"/>
      <c r="E38" s="43">
        <f>SUM(E33:E37)</f>
        <v>3675000</v>
      </c>
      <c r="F38" s="43">
        <f>C38-Jan!C38</f>
        <v>-5000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5.75" customHeight="1">
      <c r="A54" s="3"/>
      <c r="B54" s="2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C4"/>
    <mergeCell ref="D4:F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37.0"/>
    <col customWidth="1" min="3" max="3" width="18.25"/>
    <col customWidth="1" min="4" max="4" width="6.25"/>
    <col customWidth="1" min="5" max="5" width="30.25"/>
    <col customWidth="1" min="6" max="6" width="23.25"/>
  </cols>
  <sheetData>
    <row r="1" ht="15.75" customHeight="1">
      <c r="A1" s="1" t="s">
        <v>0</v>
      </c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5.75" customHeight="1">
      <c r="A2" s="4" t="s">
        <v>20</v>
      </c>
      <c r="G2" s="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5.75" customHeight="1">
      <c r="A3" s="3"/>
      <c r="B3" s="3"/>
      <c r="C3" s="3"/>
      <c r="D3" s="3"/>
      <c r="E3" s="3"/>
      <c r="F3" s="3"/>
      <c r="G3" s="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5.75" customHeight="1">
      <c r="A4" s="6" t="s">
        <v>2</v>
      </c>
      <c r="C4" s="7"/>
      <c r="D4" s="6" t="s">
        <v>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5.75" customHeight="1">
      <c r="A5" s="8" t="s">
        <v>4</v>
      </c>
      <c r="B5" s="8" t="s">
        <v>5</v>
      </c>
      <c r="C5" s="9" t="s">
        <v>6</v>
      </c>
      <c r="D5" s="8" t="s">
        <v>4</v>
      </c>
      <c r="E5" s="10" t="s">
        <v>5</v>
      </c>
      <c r="F5" s="8" t="s">
        <v>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15.75" customHeight="1">
      <c r="A6" s="11" t="str">
        <f>IFERROR(__xludf.DUMMYFUNCTION("QUERY('+Mar'!A65:H79, ""SELECT Col1, Col2, Col8 where Col8 &gt; 0"", 1)"),"1")</f>
        <v>1</v>
      </c>
      <c r="B6" s="12" t="str">
        <f>IFERROR(__xludf.DUMMYFUNCTION("""COMPUTED_VALUE"""),"Yayasan")</f>
        <v>Yayasan</v>
      </c>
      <c r="C6" s="13" t="str">
        <f>IFERROR(__xludf.DUMMYFUNCTION("""COMPUTED_VALUE""")," Rp 100.000 ")</f>
        <v> Rp 100.000 </v>
      </c>
      <c r="D6" s="11">
        <f>IFERROR(__xludf.DUMMYFUNCTION("QUERY('-Mar'!A2:H34, ""SELECT Col1, Col2, Col8 where Col8 &gt; 0"")"),1.0)</f>
        <v>1</v>
      </c>
      <c r="E6" s="14" t="str">
        <f>IFERROR(__xludf.DUMMYFUNCTION("""COMPUTED_VALUE"""),"Iuran Penjaga Keamanan")</f>
        <v>Iuran Penjaga Keamanan</v>
      </c>
      <c r="F6" s="15">
        <f>IFERROR(__xludf.DUMMYFUNCTION("""COMPUTED_VALUE"""),600000.0)</f>
        <v>600000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15.75" customHeight="1">
      <c r="A7" s="16">
        <f>IFERROR(__xludf.DUMMYFUNCTION("""COMPUTED_VALUE"""),2.0)</f>
        <v>2</v>
      </c>
      <c r="B7" s="17" t="str">
        <f>IFERROR(__xludf.DUMMYFUNCTION("""COMPUTED_VALUE"""),"Bu Glen (Des '25 - Feb '26)")</f>
        <v>Bu Glen (Des '25 - Feb '26)</v>
      </c>
      <c r="C7" s="18">
        <f>IFERROR(__xludf.DUMMYFUNCTION("""COMPUTED_VALUE"""),160000.0)</f>
        <v>160000</v>
      </c>
      <c r="D7" s="19">
        <f>IFERROR(__xludf.DUMMYFUNCTION("""COMPUTED_VALUE"""),2.0)</f>
        <v>2</v>
      </c>
      <c r="E7" s="20" t="str">
        <f>IFERROR(__xludf.DUMMYFUNCTION("""COMPUTED_VALUE"""),"Iuran Retribusi Sampah")</f>
        <v>Iuran Retribusi Sampah</v>
      </c>
      <c r="F7" s="21">
        <f>IFERROR(__xludf.DUMMYFUNCTION("""COMPUTED_VALUE"""),75000.0)</f>
        <v>75000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15.75" customHeight="1">
      <c r="A8" s="22">
        <f>IFERROR(__xludf.DUMMYFUNCTION("""COMPUTED_VALUE"""),2.0)</f>
        <v>2</v>
      </c>
      <c r="B8" s="12" t="str">
        <f>IFERROR(__xludf.DUMMYFUNCTION("""COMPUTED_VALUE"""),"Total Dama Bu Ifa")</f>
        <v>Total Dama Bu Ifa</v>
      </c>
      <c r="C8" s="13">
        <f>IFERROR(__xludf.DUMMYFUNCTION("""COMPUTED_VALUE"""),810000.0)</f>
        <v>810000</v>
      </c>
      <c r="D8" s="22">
        <f>IFERROR(__xludf.DUMMYFUNCTION("""COMPUTED_VALUE"""),3.0)</f>
        <v>3</v>
      </c>
      <c r="E8" s="14" t="str">
        <f>IFERROR(__xludf.DUMMYFUNCTION("""COMPUTED_VALUE"""),"Iuran Tukang Sampah")</f>
        <v>Iuran Tukang Sampah</v>
      </c>
      <c r="F8" s="15">
        <f>IFERROR(__xludf.DUMMYFUNCTION("""COMPUTED_VALUE"""),750000.0)</f>
        <v>750000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5.75" customHeight="1">
      <c r="A9" s="23">
        <f>IFERROR(__xludf.DUMMYFUNCTION("""COMPUTED_VALUE"""),3.0)</f>
        <v>3</v>
      </c>
      <c r="B9" s="17" t="str">
        <f>IFERROR(__xludf.DUMMYFUNCTION("""COMPUTED_VALUE"""),"Total Dama Bu Nur")</f>
        <v>Total Dama Bu Nur</v>
      </c>
      <c r="C9" s="24">
        <f>IFERROR(__xludf.DUMMYFUNCTION("""COMPUTED_VALUE"""),800000.0)</f>
        <v>800000</v>
      </c>
      <c r="D9" s="44">
        <f>IFERROR(__xludf.DUMMYFUNCTION("""COMPUTED_VALUE"""),4.0)</f>
        <v>4</v>
      </c>
      <c r="E9" s="20" t="str">
        <f>IFERROR(__xludf.DUMMYFUNCTION("""COMPUTED_VALUE"""),"Setor Rukem (Mar - Apr)")</f>
        <v>Setor Rukem (Mar - Apr)</v>
      </c>
      <c r="F9" s="21">
        <f>IFERROR(__xludf.DUMMYFUNCTION("""COMPUTED_VALUE"""),400000.0)</f>
        <v>400000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5.75" customHeight="1">
      <c r="A10" s="25">
        <f>IFERROR(__xludf.DUMMYFUNCTION("""COMPUTED_VALUE"""),4.0)</f>
        <v>4</v>
      </c>
      <c r="B10" s="25" t="str">
        <f>IFERROR(__xludf.DUMMYFUNCTION("""COMPUTED_VALUE"""),"Total Dama Bu Desi")</f>
        <v>Total Dama Bu Desi</v>
      </c>
      <c r="C10" s="26">
        <f>IFERROR(__xludf.DUMMYFUNCTION("""COMPUTED_VALUE"""),660000.0)</f>
        <v>660000</v>
      </c>
      <c r="D10" s="25">
        <f>IFERROR(__xludf.DUMMYFUNCTION("""COMPUTED_VALUE"""),5.0)</f>
        <v>5</v>
      </c>
      <c r="E10" s="25" t="str">
        <f>IFERROR(__xludf.DUMMYFUNCTION("""COMPUTED_VALUE"""),"Setor RW (Mar - Apr)")</f>
        <v>Setor RW (Mar - Apr)</v>
      </c>
      <c r="F10" s="15">
        <f>IFERROR(__xludf.DUMMYFUNCTION("""COMPUTED_VALUE"""),200000.0)</f>
        <v>200000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5.75" customHeight="1">
      <c r="A11" s="23">
        <f>IFERROR(__xludf.DUMMYFUNCTION("""COMPUTED_VALUE"""),5.0)</f>
        <v>5</v>
      </c>
      <c r="B11" s="23" t="str">
        <f>IFERROR(__xludf.DUMMYFUNCTION("""COMPUTED_VALUE"""),"Saldo Sebelumnya")</f>
        <v>Saldo Sebelumnya</v>
      </c>
      <c r="C11" s="24">
        <f>IFERROR(__xludf.DUMMYFUNCTION("""COMPUTED_VALUE"""),1.3931E7)</f>
        <v>13931000</v>
      </c>
      <c r="D11" s="23"/>
      <c r="E11" s="23"/>
      <c r="F11" s="21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15.75" customHeight="1">
      <c r="A12" s="25"/>
      <c r="B12" s="25"/>
      <c r="C12" s="27"/>
      <c r="D12" s="25"/>
      <c r="E12" s="25"/>
      <c r="F12" s="38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15.75" customHeight="1">
      <c r="A13" s="23"/>
      <c r="B13" s="23"/>
      <c r="C13" s="29"/>
      <c r="D13" s="23"/>
      <c r="E13" s="23"/>
      <c r="F13" s="39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5.75" customHeight="1">
      <c r="A14" s="25"/>
      <c r="B14" s="25"/>
      <c r="C14" s="27"/>
      <c r="D14" s="25"/>
      <c r="E14" s="25"/>
      <c r="F14" s="38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5.75" customHeight="1">
      <c r="A15" s="23"/>
      <c r="B15" s="23"/>
      <c r="C15" s="29"/>
      <c r="D15" s="23"/>
      <c r="E15" s="23"/>
      <c r="F15" s="39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5.75" customHeight="1">
      <c r="A16" s="25"/>
      <c r="B16" s="25"/>
      <c r="C16" s="27"/>
      <c r="D16" s="25"/>
      <c r="E16" s="25"/>
      <c r="F16" s="38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5.75" customHeight="1">
      <c r="A17" s="23"/>
      <c r="B17" s="23"/>
      <c r="C17" s="29"/>
      <c r="D17" s="23"/>
      <c r="E17" s="23"/>
      <c r="F17" s="39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15.75" customHeight="1">
      <c r="A18" s="25"/>
      <c r="B18" s="25"/>
      <c r="C18" s="27"/>
      <c r="D18" s="25"/>
      <c r="E18" s="25"/>
      <c r="F18" s="38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5.75" customHeight="1">
      <c r="A19" s="23"/>
      <c r="B19" s="23"/>
      <c r="C19" s="29"/>
      <c r="D19" s="23"/>
      <c r="E19" s="23"/>
      <c r="F19" s="39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5.75" customHeight="1">
      <c r="A20" s="25"/>
      <c r="B20" s="25"/>
      <c r="C20" s="27"/>
      <c r="D20" s="25"/>
      <c r="E20" s="25"/>
      <c r="F20" s="38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5.75" customHeight="1">
      <c r="A21" s="23"/>
      <c r="B21" s="23"/>
      <c r="C21" s="29"/>
      <c r="D21" s="23"/>
      <c r="E21" s="23"/>
      <c r="F21" s="39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5.75" customHeight="1">
      <c r="A22" s="25"/>
      <c r="B22" s="25"/>
      <c r="C22" s="27"/>
      <c r="D22" s="25"/>
      <c r="E22" s="25"/>
      <c r="F22" s="38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5.75" customHeight="1">
      <c r="A23" s="23"/>
      <c r="B23" s="23"/>
      <c r="C23" s="29"/>
      <c r="D23" s="23"/>
      <c r="E23" s="23"/>
      <c r="F23" s="40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5.75" customHeight="1">
      <c r="A24" s="25"/>
      <c r="B24" s="25"/>
      <c r="C24" s="27"/>
      <c r="D24" s="25"/>
      <c r="E24" s="25"/>
      <c r="F24" s="4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5.75" customHeight="1">
      <c r="A25" s="23"/>
      <c r="B25" s="23"/>
      <c r="C25" s="29"/>
      <c r="D25" s="23"/>
      <c r="E25" s="23"/>
      <c r="F25" s="40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5.75" customHeight="1">
      <c r="A26" s="25"/>
      <c r="B26" s="25" t="s">
        <v>8</v>
      </c>
      <c r="C26" s="13">
        <f>SUM(C6:C22)</f>
        <v>16361000</v>
      </c>
      <c r="D26" s="25"/>
      <c r="E26" s="25" t="s">
        <v>9</v>
      </c>
      <c r="F26" s="15">
        <f>SUM(F6:F22)</f>
        <v>2025000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5.75" customHeight="1">
      <c r="A27" s="31"/>
      <c r="B27" s="31"/>
      <c r="C27" s="32"/>
      <c r="D27" s="31"/>
      <c r="E27" s="31" t="s">
        <v>10</v>
      </c>
      <c r="F27" s="45">
        <f>SUM(C26-F26)</f>
        <v>14336000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5.75" customHeight="1">
      <c r="A32" s="3"/>
      <c r="B32" s="34" t="s">
        <v>11</v>
      </c>
      <c r="C32" s="3"/>
      <c r="D32" s="3"/>
      <c r="E32" s="42" t="s">
        <v>3</v>
      </c>
      <c r="F32" s="42" t="s">
        <v>19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5.75" customHeight="1">
      <c r="A33" s="3"/>
      <c r="B33" s="17" t="s">
        <v>12</v>
      </c>
      <c r="C33" s="35">
        <f>'+Mar'!C80 - '-Mar'!C35</f>
        <v>6094500</v>
      </c>
      <c r="D33" s="3"/>
      <c r="E33" s="43">
        <f>'-Mar'!C35</f>
        <v>1425000</v>
      </c>
      <c r="F33" s="43">
        <f>C33-Feb!C33</f>
        <v>145000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5.75" customHeight="1">
      <c r="A34" s="3"/>
      <c r="B34" s="3" t="s">
        <v>13</v>
      </c>
      <c r="C34" s="35">
        <f>'+Mar'!D80 - '-Mar'!D35</f>
        <v>1562000</v>
      </c>
      <c r="D34" s="3"/>
      <c r="E34" s="43">
        <f>'-Mar'!D35</f>
        <v>400000</v>
      </c>
      <c r="F34" s="43">
        <f>C34-Feb!C34</f>
        <v>-180000</v>
      </c>
      <c r="G34" s="3"/>
      <c r="H34" s="36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5.75" customHeight="1">
      <c r="A35" s="3"/>
      <c r="B35" s="3" t="s">
        <v>14</v>
      </c>
      <c r="C35" s="35">
        <f>'+Mar'!E80 - '-Mar'!E35</f>
        <v>2496000</v>
      </c>
      <c r="D35" s="3"/>
      <c r="E35" s="43">
        <f>'-Mar'!E35</f>
        <v>0</v>
      </c>
      <c r="F35" s="43">
        <f>C35-Feb!C35</f>
        <v>107500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5.75" customHeight="1">
      <c r="A36" s="3"/>
      <c r="B36" s="3" t="s">
        <v>15</v>
      </c>
      <c r="C36" s="35">
        <f>'+Mar'!F80 - '-Mar'!F35</f>
        <v>1015000</v>
      </c>
      <c r="D36" s="3"/>
      <c r="E36" s="43">
        <f>'-Mar'!F35</f>
        <v>200000</v>
      </c>
      <c r="F36" s="43">
        <f>C36-Feb!C36</f>
        <v>-92500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5.75" customHeight="1">
      <c r="A37" s="3"/>
      <c r="B37" s="3" t="s">
        <v>16</v>
      </c>
      <c r="C37" s="35">
        <f>'+Mar'!G80 - '-Mar'!G35</f>
        <v>3168500</v>
      </c>
      <c r="D37" s="3"/>
      <c r="E37" s="43">
        <f>'-Mar'!G35</f>
        <v>0</v>
      </c>
      <c r="F37" s="43">
        <f>C37-Feb!C37</f>
        <v>425000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5.75" customHeight="1">
      <c r="A38" s="3"/>
      <c r="B38" s="34" t="s">
        <v>17</v>
      </c>
      <c r="C38" s="37">
        <f>SUM(C33:C37)</f>
        <v>14336000</v>
      </c>
      <c r="D38" s="3"/>
      <c r="E38" s="43">
        <f>SUM(E33:E37)</f>
        <v>2025000</v>
      </c>
      <c r="F38" s="43">
        <f>C38-Feb!C38</f>
        <v>405000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5.75" customHeight="1">
      <c r="A54" s="3"/>
      <c r="B54" s="2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C4"/>
    <mergeCell ref="D4:F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37.0"/>
    <col customWidth="1" min="3" max="3" width="18.25"/>
    <col customWidth="1" min="4" max="4" width="6.25"/>
    <col customWidth="1" min="5" max="5" width="30.25"/>
    <col customWidth="1" min="6" max="6" width="23.25"/>
  </cols>
  <sheetData>
    <row r="1" ht="15.75" customHeight="1">
      <c r="A1" s="1" t="s">
        <v>0</v>
      </c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5.75" customHeight="1">
      <c r="A2" s="4" t="s">
        <v>21</v>
      </c>
      <c r="G2" s="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5.75" customHeight="1">
      <c r="A3" s="3"/>
      <c r="B3" s="3"/>
      <c r="C3" s="3"/>
      <c r="D3" s="3"/>
      <c r="E3" s="3"/>
      <c r="F3" s="3"/>
      <c r="G3" s="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5.75" customHeight="1">
      <c r="A4" s="6" t="s">
        <v>2</v>
      </c>
      <c r="C4" s="7"/>
      <c r="D4" s="6" t="s">
        <v>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5.75" customHeight="1">
      <c r="A5" s="8" t="s">
        <v>4</v>
      </c>
      <c r="B5" s="8" t="s">
        <v>5</v>
      </c>
      <c r="C5" s="9" t="s">
        <v>6</v>
      </c>
      <c r="D5" s="8" t="s">
        <v>4</v>
      </c>
      <c r="E5" s="10" t="s">
        <v>5</v>
      </c>
      <c r="F5" s="8" t="s">
        <v>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15.75" customHeight="1">
      <c r="A6" s="11">
        <f>IFERROR(__xludf.DUMMYFUNCTION("QUERY('+Apr'!A65:H79, ""SELECT Col1, Col2, Col8 where Col8 &gt; 0"", 1)"),1.0)</f>
        <v>1</v>
      </c>
      <c r="B6" s="12" t="str">
        <f>IFERROR(__xludf.DUMMYFUNCTION("""COMPUTED_VALUE"""),"Total Dama Bu Ifa")</f>
        <v>Total Dama Bu Ifa</v>
      </c>
      <c r="C6" s="13">
        <f>IFERROR(__xludf.DUMMYFUNCTION("""COMPUTED_VALUE"""),865000.0)</f>
        <v>865000</v>
      </c>
      <c r="D6" s="11">
        <f>IFERROR(__xludf.DUMMYFUNCTION("QUERY('-Apr'!A2:H34, ""SELECT Col1, Col2, Col8 where Col8 &gt; 0"")"),1.0)</f>
        <v>1</v>
      </c>
      <c r="E6" s="14" t="str">
        <f>IFERROR(__xludf.DUMMYFUNCTION("""COMPUTED_VALUE"""),"Iuran Penjaga Keamanan")</f>
        <v>Iuran Penjaga Keamanan</v>
      </c>
      <c r="F6" s="15">
        <f>IFERROR(__xludf.DUMMYFUNCTION("""COMPUTED_VALUE"""),600000.0)</f>
        <v>600000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15.75" customHeight="1">
      <c r="A7" s="16">
        <f>IFERROR(__xludf.DUMMYFUNCTION("""COMPUTED_VALUE"""),2.0)</f>
        <v>2</v>
      </c>
      <c r="B7" s="17" t="str">
        <f>IFERROR(__xludf.DUMMYFUNCTION("""COMPUTED_VALUE"""),"Total Dama Bu Nur")</f>
        <v>Total Dama Bu Nur</v>
      </c>
      <c r="C7" s="18">
        <f>IFERROR(__xludf.DUMMYFUNCTION("""COMPUTED_VALUE"""),820000.0)</f>
        <v>820000</v>
      </c>
      <c r="D7" s="19">
        <f>IFERROR(__xludf.DUMMYFUNCTION("""COMPUTED_VALUE"""),2.0)</f>
        <v>2</v>
      </c>
      <c r="E7" s="20" t="str">
        <f>IFERROR(__xludf.DUMMYFUNCTION("""COMPUTED_VALUE"""),"Iuran Retribusi Sampah")</f>
        <v>Iuran Retribusi Sampah</v>
      </c>
      <c r="F7" s="21">
        <f>IFERROR(__xludf.DUMMYFUNCTION("""COMPUTED_VALUE"""),75000.0)</f>
        <v>75000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15.75" customHeight="1">
      <c r="A8" s="22">
        <f>IFERROR(__xludf.DUMMYFUNCTION("""COMPUTED_VALUE"""),3.0)</f>
        <v>3</v>
      </c>
      <c r="B8" s="12" t="str">
        <f>IFERROR(__xludf.DUMMYFUNCTION("""COMPUTED_VALUE"""),"Total Dama Bu Desi")</f>
        <v>Total Dama Bu Desi</v>
      </c>
      <c r="C8" s="13">
        <f>IFERROR(__xludf.DUMMYFUNCTION("""COMPUTED_VALUE"""),660000.0)</f>
        <v>660000</v>
      </c>
      <c r="D8" s="22">
        <f>IFERROR(__xludf.DUMMYFUNCTION("""COMPUTED_VALUE"""),3.0)</f>
        <v>3</v>
      </c>
      <c r="E8" s="14" t="str">
        <f>IFERROR(__xludf.DUMMYFUNCTION("""COMPUTED_VALUE"""),"Iuran Tukang Sampah")</f>
        <v>Iuran Tukang Sampah</v>
      </c>
      <c r="F8" s="15">
        <f>IFERROR(__xludf.DUMMYFUNCTION("""COMPUTED_VALUE"""),750000.0)</f>
        <v>750000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5.75" customHeight="1">
      <c r="A9" s="23">
        <f>IFERROR(__xludf.DUMMYFUNCTION("""COMPUTED_VALUE"""),4.0)</f>
        <v>4</v>
      </c>
      <c r="B9" s="17" t="str">
        <f>IFERROR(__xludf.DUMMYFUNCTION("""COMPUTED_VALUE"""),"Saldo Sebelumnya")</f>
        <v>Saldo Sebelumnya</v>
      </c>
      <c r="C9" s="24">
        <f>IFERROR(__xludf.DUMMYFUNCTION("""COMPUTED_VALUE"""),1.4336E7)</f>
        <v>14336000</v>
      </c>
      <c r="D9" s="23">
        <f>IFERROR(__xludf.DUMMYFUNCTION("""COMPUTED_VALUE"""),4.0)</f>
        <v>4</v>
      </c>
      <c r="E9" s="20" t="str">
        <f>IFERROR(__xludf.DUMMYFUNCTION("""COMPUTED_VALUE"""),"Iuran Rapat Warga")</f>
        <v>Iuran Rapat Warga</v>
      </c>
      <c r="F9" s="21">
        <f>IFERROR(__xludf.DUMMYFUNCTION("""COMPUTED_VALUE"""),1970000.0)</f>
        <v>1970000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5.75" customHeight="1">
      <c r="A10" s="25"/>
      <c r="B10" s="25"/>
      <c r="C10" s="27"/>
      <c r="D10" s="25"/>
      <c r="E10" s="25"/>
      <c r="F10" s="1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5.75" customHeight="1">
      <c r="A11" s="23"/>
      <c r="B11" s="23"/>
      <c r="C11" s="46"/>
      <c r="D11" s="23"/>
      <c r="E11" s="23"/>
      <c r="F11" s="21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15.75" customHeight="1">
      <c r="A12" s="25"/>
      <c r="B12" s="25"/>
      <c r="C12" s="47"/>
      <c r="D12" s="25"/>
      <c r="E12" s="25"/>
      <c r="F12" s="38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15.75" customHeight="1">
      <c r="A13" s="23"/>
      <c r="B13" s="23"/>
      <c r="C13" s="46"/>
      <c r="D13" s="23"/>
      <c r="E13" s="23"/>
      <c r="F13" s="39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5.75" customHeight="1">
      <c r="A14" s="25"/>
      <c r="B14" s="25"/>
      <c r="C14" s="47"/>
      <c r="D14" s="25"/>
      <c r="E14" s="25"/>
      <c r="F14" s="38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5.75" customHeight="1">
      <c r="A15" s="23"/>
      <c r="B15" s="23"/>
      <c r="C15" s="46"/>
      <c r="D15" s="23"/>
      <c r="E15" s="23"/>
      <c r="F15" s="39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5.75" customHeight="1">
      <c r="A16" s="25"/>
      <c r="B16" s="25"/>
      <c r="C16" s="47"/>
      <c r="D16" s="25"/>
      <c r="E16" s="25"/>
      <c r="F16" s="38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5.75" customHeight="1">
      <c r="A17" s="23"/>
      <c r="B17" s="23"/>
      <c r="C17" s="46"/>
      <c r="D17" s="23"/>
      <c r="E17" s="23"/>
      <c r="F17" s="39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15.75" customHeight="1">
      <c r="A18" s="25"/>
      <c r="B18" s="25"/>
      <c r="C18" s="47"/>
      <c r="D18" s="25"/>
      <c r="E18" s="25"/>
      <c r="F18" s="38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5.75" customHeight="1">
      <c r="A19" s="23"/>
      <c r="B19" s="23"/>
      <c r="C19" s="46"/>
      <c r="D19" s="23"/>
      <c r="E19" s="23"/>
      <c r="F19" s="39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5.75" customHeight="1">
      <c r="A20" s="25"/>
      <c r="B20" s="25"/>
      <c r="C20" s="47"/>
      <c r="D20" s="25"/>
      <c r="E20" s="25"/>
      <c r="F20" s="38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5.75" customHeight="1">
      <c r="A21" s="23"/>
      <c r="B21" s="23"/>
      <c r="C21" s="46"/>
      <c r="D21" s="23"/>
      <c r="E21" s="23"/>
      <c r="F21" s="39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5.75" customHeight="1">
      <c r="A22" s="25"/>
      <c r="B22" s="25"/>
      <c r="C22" s="47"/>
      <c r="D22" s="25"/>
      <c r="E22" s="25"/>
      <c r="F22" s="38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5.75" customHeight="1">
      <c r="A23" s="23"/>
      <c r="B23" s="23"/>
      <c r="C23" s="46"/>
      <c r="D23" s="23"/>
      <c r="E23" s="23"/>
      <c r="F23" s="40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5.75" customHeight="1">
      <c r="A24" s="25"/>
      <c r="B24" s="25"/>
      <c r="C24" s="47"/>
      <c r="D24" s="25"/>
      <c r="E24" s="25"/>
      <c r="F24" s="4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5.75" customHeight="1">
      <c r="A25" s="23"/>
      <c r="B25" s="23"/>
      <c r="C25" s="46"/>
      <c r="D25" s="23"/>
      <c r="E25" s="23"/>
      <c r="F25" s="40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5.75" customHeight="1">
      <c r="A26" s="25"/>
      <c r="B26" s="25" t="s">
        <v>8</v>
      </c>
      <c r="C26" s="13">
        <f>SUM(C6:C22)</f>
        <v>16681000</v>
      </c>
      <c r="D26" s="25"/>
      <c r="E26" s="25" t="s">
        <v>9</v>
      </c>
      <c r="F26" s="15">
        <f>SUM(F6:F22)</f>
        <v>3395000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5.75" customHeight="1">
      <c r="A27" s="31"/>
      <c r="B27" s="31"/>
      <c r="C27" s="32"/>
      <c r="D27" s="31"/>
      <c r="E27" s="31" t="s">
        <v>10</v>
      </c>
      <c r="F27" s="45">
        <f>SUM(C26-F26)</f>
        <v>13286000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5.75" customHeight="1">
      <c r="A32" s="3"/>
      <c r="B32" s="34" t="s">
        <v>11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5.75" customHeight="1">
      <c r="A33" s="3"/>
      <c r="B33" s="17" t="s">
        <v>12</v>
      </c>
      <c r="C33" s="35">
        <f>'+Apr'!C80 - '-Apr'!C35</f>
        <v>6169500</v>
      </c>
      <c r="D33" s="3"/>
      <c r="E33" s="35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5.75" customHeight="1">
      <c r="A34" s="3"/>
      <c r="B34" s="3" t="s">
        <v>13</v>
      </c>
      <c r="C34" s="35">
        <f>'+Apr'!D80 - '-Apr'!D35</f>
        <v>1777000</v>
      </c>
      <c r="D34" s="3"/>
      <c r="E34" s="35"/>
      <c r="F34" s="3"/>
      <c r="G34" s="3"/>
      <c r="H34" s="36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5.75" customHeight="1">
      <c r="A35" s="3"/>
      <c r="B35" s="3" t="s">
        <v>14</v>
      </c>
      <c r="C35" s="35">
        <f>'+Apr'!E80 - '-Apr'!E35</f>
        <v>631000</v>
      </c>
      <c r="D35" s="3"/>
      <c r="E35" s="35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5.75" customHeight="1">
      <c r="A36" s="3"/>
      <c r="B36" s="3" t="s">
        <v>15</v>
      </c>
      <c r="C36" s="35">
        <f>'+Apr'!F80 - '-Apr'!F35</f>
        <v>1120000</v>
      </c>
      <c r="D36" s="3"/>
      <c r="E36" s="35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5.75" customHeight="1">
      <c r="A37" s="3"/>
      <c r="B37" s="3" t="s">
        <v>16</v>
      </c>
      <c r="C37" s="35">
        <f>'+Apr'!G80 - '-Apr'!G35</f>
        <v>3588500</v>
      </c>
      <c r="D37" s="3"/>
      <c r="E37" s="35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5.75" customHeight="1">
      <c r="A38" s="3"/>
      <c r="B38" s="34" t="s">
        <v>17</v>
      </c>
      <c r="C38" s="37">
        <f>SUM(C33:C37)</f>
        <v>13286000</v>
      </c>
      <c r="D38" s="3"/>
      <c r="E38" s="37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5.75" customHeight="1">
      <c r="A54" s="3"/>
      <c r="B54" s="2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C4"/>
    <mergeCell ref="D4:F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37.0"/>
    <col customWidth="1" min="3" max="3" width="18.25"/>
    <col customWidth="1" min="4" max="4" width="6.25"/>
    <col customWidth="1" min="5" max="5" width="30.25"/>
    <col customWidth="1" min="6" max="6" width="23.25"/>
  </cols>
  <sheetData>
    <row r="1" ht="15.75" customHeight="1">
      <c r="A1" s="1" t="s">
        <v>0</v>
      </c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5.75" customHeight="1">
      <c r="A2" s="4" t="s">
        <v>22</v>
      </c>
      <c r="G2" s="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5.75" customHeight="1">
      <c r="A3" s="3"/>
      <c r="B3" s="3"/>
      <c r="C3" s="3"/>
      <c r="D3" s="3"/>
      <c r="E3" s="3"/>
      <c r="F3" s="3"/>
      <c r="G3" s="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5.75" customHeight="1">
      <c r="A4" s="6" t="s">
        <v>2</v>
      </c>
      <c r="C4" s="7"/>
      <c r="D4" s="6" t="s">
        <v>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5.75" customHeight="1">
      <c r="A5" s="8" t="s">
        <v>4</v>
      </c>
      <c r="B5" s="8" t="s">
        <v>5</v>
      </c>
      <c r="C5" s="9" t="s">
        <v>6</v>
      </c>
      <c r="D5" s="8" t="s">
        <v>4</v>
      </c>
      <c r="E5" s="10" t="s">
        <v>5</v>
      </c>
      <c r="F5" s="8" t="s">
        <v>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15.75" customHeight="1">
      <c r="A6" s="11" t="str">
        <f>IFERROR(__xludf.DUMMYFUNCTION("QUERY('+Mei'!A65:H79, ""SELECT Col1, Col2, Col8 where Col8 &gt; 0"", 1)"),"1")</f>
        <v>1</v>
      </c>
      <c r="B6" s="12" t="str">
        <f>IFERROR(__xludf.DUMMYFUNCTION("""COMPUTED_VALUE"""),"Bu Glen (Mar - Mei '26)")</f>
        <v>Bu Glen (Mar - Mei '26)</v>
      </c>
      <c r="C6" s="13" t="str">
        <f>IFERROR(__xludf.DUMMYFUNCTION("""COMPUTED_VALUE"""),"")</f>
        <v/>
      </c>
      <c r="D6" s="11">
        <f>IFERROR(__xludf.DUMMYFUNCTION("QUERY('-Mei'!A2:H34, ""SELECT Col1, Col2, Col8 where Col8 &gt; 0"")"),1.0)</f>
        <v>1</v>
      </c>
      <c r="E6" s="14" t="str">
        <f>IFERROR(__xludf.DUMMYFUNCTION("""COMPUTED_VALUE"""),"Iuran Penjaga Keamanan")</f>
        <v>Iuran Penjaga Keamanan</v>
      </c>
      <c r="F6" s="15">
        <f>IFERROR(__xludf.DUMMYFUNCTION("""COMPUTED_VALUE"""),600000.0)</f>
        <v>600000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15.75" customHeight="1">
      <c r="A7" s="16">
        <f>IFERROR(__xludf.DUMMYFUNCTION("""COMPUTED_VALUE"""),2.0)</f>
        <v>2</v>
      </c>
      <c r="B7" s="17" t="str">
        <f>IFERROR(__xludf.DUMMYFUNCTION("""COMPUTED_VALUE"""),"Total Dama Bu Ifa")</f>
        <v>Total Dama Bu Ifa</v>
      </c>
      <c r="C7" s="18">
        <f>IFERROR(__xludf.DUMMYFUNCTION("""COMPUTED_VALUE"""),810000.0)</f>
        <v>810000</v>
      </c>
      <c r="D7" s="19">
        <f>IFERROR(__xludf.DUMMYFUNCTION("""COMPUTED_VALUE"""),2.0)</f>
        <v>2</v>
      </c>
      <c r="E7" s="20" t="str">
        <f>IFERROR(__xludf.DUMMYFUNCTION("""COMPUTED_VALUE"""),"Iuran Retribusi Sampah")</f>
        <v>Iuran Retribusi Sampah</v>
      </c>
      <c r="F7" s="21">
        <f>IFERROR(__xludf.DUMMYFUNCTION("""COMPUTED_VALUE"""),75000.0)</f>
        <v>75000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15.75" customHeight="1">
      <c r="A8" s="22">
        <f>IFERROR(__xludf.DUMMYFUNCTION("""COMPUTED_VALUE"""),3.0)</f>
        <v>3</v>
      </c>
      <c r="B8" s="12" t="str">
        <f>IFERROR(__xludf.DUMMYFUNCTION("""COMPUTED_VALUE"""),"Total Dama Bu Nur")</f>
        <v>Total Dama Bu Nur</v>
      </c>
      <c r="C8" s="13">
        <f>IFERROR(__xludf.DUMMYFUNCTION("""COMPUTED_VALUE"""),840000.0)</f>
        <v>840000</v>
      </c>
      <c r="D8" s="22">
        <f>IFERROR(__xludf.DUMMYFUNCTION("""COMPUTED_VALUE"""),3.0)</f>
        <v>3</v>
      </c>
      <c r="E8" s="14" t="str">
        <f>IFERROR(__xludf.DUMMYFUNCTION("""COMPUTED_VALUE"""),"Iuran Tukang Sampah")</f>
        <v>Iuran Tukang Sampah</v>
      </c>
      <c r="F8" s="15">
        <f>IFERROR(__xludf.DUMMYFUNCTION("""COMPUTED_VALUE"""),750000.0)</f>
        <v>750000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5.75" customHeight="1">
      <c r="A9" s="23">
        <f>IFERROR(__xludf.DUMMYFUNCTION("""COMPUTED_VALUE"""),5.0)</f>
        <v>5</v>
      </c>
      <c r="B9" s="17" t="str">
        <f>IFERROR(__xludf.DUMMYFUNCTION("""COMPUTED_VALUE"""),"Saldo Sebelumnya")</f>
        <v>Saldo Sebelumnya</v>
      </c>
      <c r="C9" s="24">
        <f>IFERROR(__xludf.DUMMYFUNCTION("""COMPUTED_VALUE"""),1.3286E7)</f>
        <v>13286000</v>
      </c>
      <c r="D9" s="23">
        <f>IFERROR(__xludf.DUMMYFUNCTION("""COMPUTED_VALUE"""),4.0)</f>
        <v>4</v>
      </c>
      <c r="E9" s="20" t="str">
        <f>IFERROR(__xludf.DUMMYFUNCTION("""COMPUTED_VALUE"""),"Setor Rukem (Mei - Jun)")</f>
        <v>Setor Rukem (Mei - Jun)</v>
      </c>
      <c r="F9" s="21">
        <f>IFERROR(__xludf.DUMMYFUNCTION("""COMPUTED_VALUE"""),400000.0)</f>
        <v>400000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5.75" customHeight="1">
      <c r="A10" s="25"/>
      <c r="B10" s="25"/>
      <c r="C10" s="27"/>
      <c r="D10" s="25">
        <f>IFERROR(__xludf.DUMMYFUNCTION("""COMPUTED_VALUE"""),5.0)</f>
        <v>5</v>
      </c>
      <c r="E10" s="25" t="str">
        <f>IFERROR(__xludf.DUMMYFUNCTION("""COMPUTED_VALUE"""),"Setor RW (Mei - Jun)")</f>
        <v>Setor RW (Mei - Jun)</v>
      </c>
      <c r="F10" s="15">
        <f>IFERROR(__xludf.DUMMYFUNCTION("""COMPUTED_VALUE"""),200000.0)</f>
        <v>200000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5.75" customHeight="1">
      <c r="A11" s="23"/>
      <c r="B11" s="23"/>
      <c r="C11" s="46"/>
      <c r="D11" s="23"/>
      <c r="E11" s="23"/>
      <c r="F11" s="21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15.75" customHeight="1">
      <c r="A12" s="25"/>
      <c r="B12" s="25"/>
      <c r="C12" s="47"/>
      <c r="D12" s="25"/>
      <c r="E12" s="25"/>
      <c r="F12" s="38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15.75" customHeight="1">
      <c r="A13" s="23"/>
      <c r="B13" s="23"/>
      <c r="C13" s="46"/>
      <c r="D13" s="23"/>
      <c r="E13" s="23"/>
      <c r="F13" s="39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5.75" customHeight="1">
      <c r="A14" s="25"/>
      <c r="B14" s="25"/>
      <c r="C14" s="47"/>
      <c r="D14" s="25"/>
      <c r="E14" s="25"/>
      <c r="F14" s="38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5.75" customHeight="1">
      <c r="A15" s="23"/>
      <c r="B15" s="23"/>
      <c r="C15" s="46"/>
      <c r="D15" s="23"/>
      <c r="E15" s="23"/>
      <c r="F15" s="39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5.75" customHeight="1">
      <c r="A16" s="25"/>
      <c r="B16" s="25"/>
      <c r="C16" s="47"/>
      <c r="D16" s="25"/>
      <c r="E16" s="25"/>
      <c r="F16" s="38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5.75" customHeight="1">
      <c r="A17" s="23"/>
      <c r="B17" s="23"/>
      <c r="C17" s="46"/>
      <c r="D17" s="23"/>
      <c r="E17" s="23"/>
      <c r="F17" s="39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15.75" customHeight="1">
      <c r="A18" s="25"/>
      <c r="B18" s="25"/>
      <c r="C18" s="47"/>
      <c r="D18" s="25"/>
      <c r="E18" s="25"/>
      <c r="F18" s="38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5.75" customHeight="1">
      <c r="A19" s="23"/>
      <c r="B19" s="23"/>
      <c r="C19" s="46"/>
      <c r="D19" s="23"/>
      <c r="E19" s="23"/>
      <c r="F19" s="39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5.75" customHeight="1">
      <c r="A20" s="25"/>
      <c r="B20" s="25"/>
      <c r="C20" s="47"/>
      <c r="D20" s="25"/>
      <c r="E20" s="25"/>
      <c r="F20" s="38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5.75" customHeight="1">
      <c r="A21" s="23"/>
      <c r="B21" s="23"/>
      <c r="C21" s="46"/>
      <c r="D21" s="23"/>
      <c r="E21" s="23"/>
      <c r="F21" s="39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5.75" customHeight="1">
      <c r="A22" s="25"/>
      <c r="B22" s="25"/>
      <c r="C22" s="47"/>
      <c r="D22" s="25"/>
      <c r="E22" s="25"/>
      <c r="F22" s="38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5.75" customHeight="1">
      <c r="A23" s="23"/>
      <c r="B23" s="23"/>
      <c r="C23" s="46"/>
      <c r="D23" s="23"/>
      <c r="E23" s="23"/>
      <c r="F23" s="40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5.75" customHeight="1">
      <c r="A24" s="25"/>
      <c r="B24" s="25"/>
      <c r="C24" s="47"/>
      <c r="D24" s="25"/>
      <c r="E24" s="25"/>
      <c r="F24" s="4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5.75" customHeight="1">
      <c r="A25" s="23"/>
      <c r="B25" s="23"/>
      <c r="C25" s="46"/>
      <c r="D25" s="23"/>
      <c r="E25" s="23"/>
      <c r="F25" s="40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5.75" customHeight="1">
      <c r="A26" s="25"/>
      <c r="B26" s="25" t="s">
        <v>8</v>
      </c>
      <c r="C26" s="13">
        <f>SUM(C6:C22)</f>
        <v>14936000</v>
      </c>
      <c r="D26" s="25"/>
      <c r="E26" s="25" t="s">
        <v>9</v>
      </c>
      <c r="F26" s="15">
        <f>SUM(F6:F22)</f>
        <v>2025000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5.75" customHeight="1">
      <c r="A27" s="31"/>
      <c r="B27" s="31"/>
      <c r="C27" s="32"/>
      <c r="D27" s="31"/>
      <c r="E27" s="31" t="s">
        <v>10</v>
      </c>
      <c r="F27" s="45">
        <f>SUM(C26-F26)</f>
        <v>12911000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5.75" customHeight="1">
      <c r="A32" s="3"/>
      <c r="B32" s="34" t="s">
        <v>11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5.75" customHeight="1">
      <c r="A33" s="3"/>
      <c r="B33" s="17" t="s">
        <v>12</v>
      </c>
      <c r="C33" s="35">
        <f>'+Mei'!C80 - '-Mei'!C35</f>
        <v>5789500</v>
      </c>
      <c r="D33" s="3"/>
      <c r="E33" s="35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5.75" customHeight="1">
      <c r="A34" s="3"/>
      <c r="B34" s="3" t="s">
        <v>13</v>
      </c>
      <c r="C34" s="35">
        <f>'+Mei'!D80 - '-Mei'!D35</f>
        <v>1532000</v>
      </c>
      <c r="D34" s="3"/>
      <c r="E34" s="35"/>
      <c r="F34" s="3"/>
      <c r="G34" s="3"/>
      <c r="H34" s="36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5.75" customHeight="1">
      <c r="A35" s="3"/>
      <c r="B35" s="3" t="s">
        <v>14</v>
      </c>
      <c r="C35" s="35">
        <f>'+Mei'!E80 - '-Mei'!E35</f>
        <v>706000</v>
      </c>
      <c r="D35" s="3"/>
      <c r="E35" s="35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5.75" customHeight="1">
      <c r="A36" s="3"/>
      <c r="B36" s="3" t="s">
        <v>15</v>
      </c>
      <c r="C36" s="35">
        <f>'+Mei'!F80 - '-Mei'!F35</f>
        <v>995000</v>
      </c>
      <c r="D36" s="3"/>
      <c r="E36" s="35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5.75" customHeight="1">
      <c r="A37" s="3"/>
      <c r="B37" s="3" t="s">
        <v>16</v>
      </c>
      <c r="C37" s="35">
        <f>'+Mei'!G80 - '-Mei'!G35</f>
        <v>3888500</v>
      </c>
      <c r="D37" s="3"/>
      <c r="E37" s="35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5.75" customHeight="1">
      <c r="A38" s="3"/>
      <c r="B38" s="34" t="s">
        <v>17</v>
      </c>
      <c r="C38" s="37">
        <f>SUM(C33:C37)</f>
        <v>12911000</v>
      </c>
      <c r="D38" s="3"/>
      <c r="E38" s="37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5.75" customHeight="1">
      <c r="A54" s="3"/>
      <c r="B54" s="2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C4"/>
    <mergeCell ref="D4:F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37.0"/>
    <col customWidth="1" min="3" max="3" width="18.25"/>
    <col customWidth="1" min="4" max="4" width="6.25"/>
    <col customWidth="1" min="5" max="5" width="30.25"/>
    <col customWidth="1" min="6" max="6" width="23.25"/>
  </cols>
  <sheetData>
    <row r="1" ht="15.75" customHeight="1">
      <c r="A1" s="1" t="s">
        <v>0</v>
      </c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5.75" customHeight="1">
      <c r="A2" s="4" t="s">
        <v>23</v>
      </c>
      <c r="G2" s="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5.75" customHeight="1">
      <c r="A3" s="3"/>
      <c r="B3" s="3"/>
      <c r="C3" s="3"/>
      <c r="D3" s="3"/>
      <c r="E3" s="3"/>
      <c r="F3" s="3"/>
      <c r="G3" s="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5.75" customHeight="1">
      <c r="A4" s="6" t="s">
        <v>2</v>
      </c>
      <c r="C4" s="7"/>
      <c r="D4" s="6" t="s">
        <v>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5.75" customHeight="1">
      <c r="A5" s="8" t="s">
        <v>4</v>
      </c>
      <c r="B5" s="8" t="s">
        <v>5</v>
      </c>
      <c r="C5" s="9" t="s">
        <v>6</v>
      </c>
      <c r="D5" s="8" t="s">
        <v>4</v>
      </c>
      <c r="E5" s="10" t="s">
        <v>5</v>
      </c>
      <c r="F5" s="8" t="s">
        <v>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15.75" customHeight="1">
      <c r="A6" s="11">
        <f>IFERROR(__xludf.DUMMYFUNCTION("QUERY('+Jun'!A65:H79, ""SELECT Col1, Col2, Col8 where Col8 &gt; 0"", 1)"),1.0)</f>
        <v>1</v>
      </c>
      <c r="B6" s="12" t="str">
        <f>IFERROR(__xludf.DUMMYFUNCTION("""COMPUTED_VALUE"""),"Total Dama Bu Ifa")</f>
        <v>Total Dama Bu Ifa</v>
      </c>
      <c r="C6" s="13">
        <f>IFERROR(__xludf.DUMMYFUNCTION("""COMPUTED_VALUE"""),810000.0)</f>
        <v>810000</v>
      </c>
      <c r="D6" s="11">
        <f>IFERROR(__xludf.DUMMYFUNCTION("QUERY('-Jun'!A2:H34, ""SELECT Col1, Col2, Col8 where Col8 &gt; 0"")"),1.0)</f>
        <v>1</v>
      </c>
      <c r="E6" s="14" t="str">
        <f>IFERROR(__xludf.DUMMYFUNCTION("""COMPUTED_VALUE"""),"Iuran Penjaga Keamanan")</f>
        <v>Iuran Penjaga Keamanan</v>
      </c>
      <c r="F6" s="15">
        <f>IFERROR(__xludf.DUMMYFUNCTION("""COMPUTED_VALUE"""),600000.0)</f>
        <v>600000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15.75" customHeight="1">
      <c r="A7" s="16">
        <f>IFERROR(__xludf.DUMMYFUNCTION("""COMPUTED_VALUE"""),4.0)</f>
        <v>4</v>
      </c>
      <c r="B7" s="17" t="str">
        <f>IFERROR(__xludf.DUMMYFUNCTION("""COMPUTED_VALUE"""),"Saldo Sebelumnya")</f>
        <v>Saldo Sebelumnya</v>
      </c>
      <c r="C7" s="18">
        <f>IFERROR(__xludf.DUMMYFUNCTION("""COMPUTED_VALUE"""),1.2911E7)</f>
        <v>12911000</v>
      </c>
      <c r="D7" s="19">
        <f>IFERROR(__xludf.DUMMYFUNCTION("""COMPUTED_VALUE"""),2.0)</f>
        <v>2</v>
      </c>
      <c r="E7" s="20" t="str">
        <f>IFERROR(__xludf.DUMMYFUNCTION("""COMPUTED_VALUE"""),"Iuran Retribusi Sampah")</f>
        <v>Iuran Retribusi Sampah</v>
      </c>
      <c r="F7" s="21">
        <f>IFERROR(__xludf.DUMMYFUNCTION("""COMPUTED_VALUE"""),75000.0)</f>
        <v>75000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15.75" customHeight="1">
      <c r="A8" s="22"/>
      <c r="B8" s="12"/>
      <c r="C8" s="13"/>
      <c r="D8" s="22">
        <f>IFERROR(__xludf.DUMMYFUNCTION("""COMPUTED_VALUE"""),3.0)</f>
        <v>3</v>
      </c>
      <c r="E8" s="14" t="str">
        <f>IFERROR(__xludf.DUMMYFUNCTION("""COMPUTED_VALUE"""),"Iuran Tukang Sampah")</f>
        <v>Iuran Tukang Sampah</v>
      </c>
      <c r="F8" s="15">
        <f>IFERROR(__xludf.DUMMYFUNCTION("""COMPUTED_VALUE"""),750000.0)</f>
        <v>750000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5.75" customHeight="1">
      <c r="A9" s="23"/>
      <c r="B9" s="17"/>
      <c r="C9" s="24"/>
      <c r="D9" s="23"/>
      <c r="E9" s="20"/>
      <c r="F9" s="21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5.75" customHeight="1">
      <c r="A10" s="25"/>
      <c r="B10" s="25"/>
      <c r="C10" s="27"/>
      <c r="D10" s="25"/>
      <c r="E10" s="25"/>
      <c r="F10" s="1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5.75" customHeight="1">
      <c r="A11" s="23"/>
      <c r="B11" s="23"/>
      <c r="C11" s="46"/>
      <c r="D11" s="23"/>
      <c r="E11" s="23"/>
      <c r="F11" s="21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15.75" customHeight="1">
      <c r="A12" s="25"/>
      <c r="B12" s="25"/>
      <c r="C12" s="47"/>
      <c r="D12" s="25"/>
      <c r="E12" s="25"/>
      <c r="F12" s="38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15.75" customHeight="1">
      <c r="A13" s="23"/>
      <c r="B13" s="23"/>
      <c r="C13" s="46"/>
      <c r="D13" s="23"/>
      <c r="E13" s="23"/>
      <c r="F13" s="39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5.75" customHeight="1">
      <c r="A14" s="25"/>
      <c r="B14" s="25"/>
      <c r="C14" s="47"/>
      <c r="D14" s="25"/>
      <c r="E14" s="25"/>
      <c r="F14" s="38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5.75" customHeight="1">
      <c r="A15" s="23"/>
      <c r="B15" s="23"/>
      <c r="C15" s="46"/>
      <c r="D15" s="23"/>
      <c r="E15" s="23"/>
      <c r="F15" s="39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5.75" customHeight="1">
      <c r="A16" s="25"/>
      <c r="B16" s="25"/>
      <c r="C16" s="47"/>
      <c r="D16" s="25"/>
      <c r="E16" s="25"/>
      <c r="F16" s="38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5.75" customHeight="1">
      <c r="A17" s="23"/>
      <c r="B17" s="23"/>
      <c r="C17" s="46"/>
      <c r="D17" s="23"/>
      <c r="E17" s="23"/>
      <c r="F17" s="39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15.75" customHeight="1">
      <c r="A18" s="25"/>
      <c r="B18" s="25"/>
      <c r="C18" s="47"/>
      <c r="D18" s="25"/>
      <c r="E18" s="25"/>
      <c r="F18" s="38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5.75" customHeight="1">
      <c r="A19" s="23"/>
      <c r="B19" s="23"/>
      <c r="C19" s="46"/>
      <c r="D19" s="23"/>
      <c r="E19" s="23"/>
      <c r="F19" s="39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5.75" customHeight="1">
      <c r="A20" s="25"/>
      <c r="B20" s="25"/>
      <c r="C20" s="47"/>
      <c r="D20" s="25"/>
      <c r="E20" s="25"/>
      <c r="F20" s="38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5.75" customHeight="1">
      <c r="A21" s="23"/>
      <c r="B21" s="23"/>
      <c r="C21" s="46"/>
      <c r="D21" s="23"/>
      <c r="E21" s="23"/>
      <c r="F21" s="39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5.75" customHeight="1">
      <c r="A22" s="25"/>
      <c r="B22" s="25"/>
      <c r="C22" s="47"/>
      <c r="D22" s="25"/>
      <c r="E22" s="25"/>
      <c r="F22" s="38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5.75" customHeight="1">
      <c r="A23" s="23"/>
      <c r="B23" s="23"/>
      <c r="C23" s="46"/>
      <c r="D23" s="23"/>
      <c r="E23" s="23"/>
      <c r="F23" s="40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5.75" customHeight="1">
      <c r="A24" s="25"/>
      <c r="B24" s="25"/>
      <c r="C24" s="47"/>
      <c r="D24" s="25"/>
      <c r="E24" s="25"/>
      <c r="F24" s="4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5.75" customHeight="1">
      <c r="A25" s="23"/>
      <c r="B25" s="23"/>
      <c r="C25" s="46"/>
      <c r="D25" s="23"/>
      <c r="E25" s="23"/>
      <c r="F25" s="40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5.75" customHeight="1">
      <c r="A26" s="25"/>
      <c r="B26" s="25" t="s">
        <v>8</v>
      </c>
      <c r="C26" s="13">
        <f>SUM(C6:C22)</f>
        <v>13721000</v>
      </c>
      <c r="D26" s="25"/>
      <c r="E26" s="25" t="s">
        <v>9</v>
      </c>
      <c r="F26" s="15">
        <f>SUM(F6:F22)</f>
        <v>1425000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5.75" customHeight="1">
      <c r="A27" s="31"/>
      <c r="B27" s="31"/>
      <c r="C27" s="32"/>
      <c r="D27" s="31"/>
      <c r="E27" s="31" t="s">
        <v>10</v>
      </c>
      <c r="F27" s="45">
        <f>SUM(C26-F26)</f>
        <v>12296000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5.75" customHeight="1">
      <c r="A32" s="3"/>
      <c r="B32" s="34" t="s">
        <v>11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5.75" customHeight="1">
      <c r="A33" s="3"/>
      <c r="B33" s="17" t="s">
        <v>12</v>
      </c>
      <c r="C33" s="35">
        <f>'+Jun'!C80 - '-Jun'!C35</f>
        <v>4889500</v>
      </c>
      <c r="D33" s="3"/>
      <c r="E33" s="35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5.75" customHeight="1">
      <c r="A34" s="3"/>
      <c r="B34" s="3" t="s">
        <v>13</v>
      </c>
      <c r="C34" s="35">
        <f>'+Jun'!D80 - '-Jun'!D35</f>
        <v>1607000</v>
      </c>
      <c r="D34" s="3"/>
      <c r="E34" s="35"/>
      <c r="F34" s="3"/>
      <c r="G34" s="3"/>
      <c r="H34" s="36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5.75" customHeight="1">
      <c r="A35" s="3"/>
      <c r="B35" s="3" t="s">
        <v>14</v>
      </c>
      <c r="C35" s="35">
        <f>'+Jun'!E80 - '-Jun'!E35</f>
        <v>741000</v>
      </c>
      <c r="D35" s="3"/>
      <c r="E35" s="35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5.75" customHeight="1">
      <c r="A36" s="3"/>
      <c r="B36" s="3" t="s">
        <v>15</v>
      </c>
      <c r="C36" s="35">
        <f>'+Jun'!F80 - '-Jun'!F35</f>
        <v>1030000</v>
      </c>
      <c r="D36" s="3"/>
      <c r="E36" s="35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5.75" customHeight="1">
      <c r="A37" s="3"/>
      <c r="B37" s="3" t="s">
        <v>16</v>
      </c>
      <c r="C37" s="35">
        <f>'+Jun'!G80 - '-Jun'!G35</f>
        <v>4028500</v>
      </c>
      <c r="D37" s="3"/>
      <c r="E37" s="35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5.75" customHeight="1">
      <c r="A38" s="3"/>
      <c r="B38" s="34" t="s">
        <v>17</v>
      </c>
      <c r="C38" s="37">
        <f>SUM(C33:C37)</f>
        <v>12296000</v>
      </c>
      <c r="D38" s="3"/>
      <c r="E38" s="37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5.75" customHeight="1">
      <c r="A54" s="3"/>
      <c r="B54" s="2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C4"/>
    <mergeCell ref="D4:F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37.0"/>
    <col customWidth="1" min="3" max="3" width="18.25"/>
    <col customWidth="1" min="4" max="4" width="6.25"/>
    <col customWidth="1" min="5" max="5" width="30.25"/>
    <col customWidth="1" min="6" max="6" width="23.25"/>
  </cols>
  <sheetData>
    <row r="1" ht="15.75" customHeight="1">
      <c r="A1" s="1" t="s">
        <v>0</v>
      </c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5.75" customHeight="1">
      <c r="A2" s="4" t="s">
        <v>24</v>
      </c>
      <c r="G2" s="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5.75" customHeight="1">
      <c r="A3" s="3"/>
      <c r="B3" s="3"/>
      <c r="C3" s="3"/>
      <c r="D3" s="3"/>
      <c r="E3" s="3"/>
      <c r="F3" s="3"/>
      <c r="G3" s="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5.75" customHeight="1">
      <c r="A4" s="6" t="s">
        <v>2</v>
      </c>
      <c r="C4" s="7"/>
      <c r="D4" s="6" t="s">
        <v>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5.75" customHeight="1">
      <c r="A5" s="8" t="s">
        <v>4</v>
      </c>
      <c r="B5" s="8" t="s">
        <v>5</v>
      </c>
      <c r="C5" s="9" t="s">
        <v>6</v>
      </c>
      <c r="D5" s="8" t="s">
        <v>4</v>
      </c>
      <c r="E5" s="10" t="s">
        <v>5</v>
      </c>
      <c r="F5" s="8" t="s">
        <v>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15.75" customHeight="1">
      <c r="A6" s="11">
        <f>IFERROR(__xludf.DUMMYFUNCTION("QUERY('+Jul'!A65:H79, ""SELECT Col1, Col2, Col8 where Col8 &gt; 0"", 1)"),4.0)</f>
        <v>4</v>
      </c>
      <c r="B6" s="12" t="str">
        <f>IFERROR(__xludf.DUMMYFUNCTION("""COMPUTED_VALUE"""),"Saldo Sebelumnya")</f>
        <v>Saldo Sebelumnya</v>
      </c>
      <c r="C6" s="13">
        <f>IFERROR(__xludf.DUMMYFUNCTION("""COMPUTED_VALUE"""),1.2296E7)</f>
        <v>12296000</v>
      </c>
      <c r="D6" s="11">
        <f>IFERROR(__xludf.DUMMYFUNCTION("QUERY('-Jul'!A2:H34, ""SELECT Col1, Col2, Col8 where Col8 &gt; 0"")"),1.0)</f>
        <v>1</v>
      </c>
      <c r="E6" s="14" t="str">
        <f>IFERROR(__xludf.DUMMYFUNCTION("""COMPUTED_VALUE"""),"Iuran Penjaga Keamanan")</f>
        <v>Iuran Penjaga Keamanan</v>
      </c>
      <c r="F6" s="15">
        <f>IFERROR(__xludf.DUMMYFUNCTION("""COMPUTED_VALUE"""),600000.0)</f>
        <v>600000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15.75" customHeight="1">
      <c r="A7" s="16"/>
      <c r="B7" s="17"/>
      <c r="C7" s="18"/>
      <c r="D7" s="19">
        <f>IFERROR(__xludf.DUMMYFUNCTION("""COMPUTED_VALUE"""),2.0)</f>
        <v>2</v>
      </c>
      <c r="E7" s="20" t="str">
        <f>IFERROR(__xludf.DUMMYFUNCTION("""COMPUTED_VALUE"""),"Iuran Retribusi Sampah")</f>
        <v>Iuran Retribusi Sampah</v>
      </c>
      <c r="F7" s="21">
        <f>IFERROR(__xludf.DUMMYFUNCTION("""COMPUTED_VALUE"""),75000.0)</f>
        <v>75000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15.75" customHeight="1">
      <c r="A8" s="22"/>
      <c r="B8" s="12"/>
      <c r="C8" s="13"/>
      <c r="D8" s="22">
        <f>IFERROR(__xludf.DUMMYFUNCTION("""COMPUTED_VALUE"""),3.0)</f>
        <v>3</v>
      </c>
      <c r="E8" s="14" t="str">
        <f>IFERROR(__xludf.DUMMYFUNCTION("""COMPUTED_VALUE"""),"Iuran Tukang Sampah")</f>
        <v>Iuran Tukang Sampah</v>
      </c>
      <c r="F8" s="15">
        <f>IFERROR(__xludf.DUMMYFUNCTION("""COMPUTED_VALUE"""),750000.0)</f>
        <v>750000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5.75" customHeight="1">
      <c r="A9" s="23"/>
      <c r="B9" s="17"/>
      <c r="C9" s="24"/>
      <c r="D9" s="23"/>
      <c r="E9" s="20"/>
      <c r="F9" s="21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5.75" customHeight="1">
      <c r="A10" s="25"/>
      <c r="B10" s="25"/>
      <c r="C10" s="27"/>
      <c r="D10" s="25"/>
      <c r="E10" s="25"/>
      <c r="F10" s="1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5.75" customHeight="1">
      <c r="A11" s="23"/>
      <c r="B11" s="23"/>
      <c r="C11" s="46"/>
      <c r="D11" s="23"/>
      <c r="E11" s="23"/>
      <c r="F11" s="21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15.75" customHeight="1">
      <c r="A12" s="25"/>
      <c r="B12" s="25"/>
      <c r="C12" s="47"/>
      <c r="D12" s="25"/>
      <c r="E12" s="25"/>
      <c r="F12" s="38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15.75" customHeight="1">
      <c r="A13" s="23"/>
      <c r="B13" s="23"/>
      <c r="C13" s="46"/>
      <c r="D13" s="23"/>
      <c r="E13" s="23"/>
      <c r="F13" s="39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5.75" customHeight="1">
      <c r="A14" s="25"/>
      <c r="B14" s="25"/>
      <c r="C14" s="47"/>
      <c r="D14" s="25"/>
      <c r="E14" s="25"/>
      <c r="F14" s="38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5.75" customHeight="1">
      <c r="A15" s="23"/>
      <c r="B15" s="23"/>
      <c r="C15" s="46"/>
      <c r="D15" s="23"/>
      <c r="E15" s="23"/>
      <c r="F15" s="39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5.75" customHeight="1">
      <c r="A16" s="25"/>
      <c r="B16" s="25"/>
      <c r="C16" s="47"/>
      <c r="D16" s="25"/>
      <c r="E16" s="25"/>
      <c r="F16" s="38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5.75" customHeight="1">
      <c r="A17" s="23"/>
      <c r="B17" s="23"/>
      <c r="C17" s="46"/>
      <c r="D17" s="23"/>
      <c r="E17" s="23"/>
      <c r="F17" s="39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15.75" customHeight="1">
      <c r="A18" s="25"/>
      <c r="B18" s="25"/>
      <c r="C18" s="47"/>
      <c r="D18" s="25"/>
      <c r="E18" s="25"/>
      <c r="F18" s="38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5.75" customHeight="1">
      <c r="A19" s="23"/>
      <c r="B19" s="23"/>
      <c r="C19" s="46"/>
      <c r="D19" s="23"/>
      <c r="E19" s="23"/>
      <c r="F19" s="39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5.75" customHeight="1">
      <c r="A20" s="25"/>
      <c r="B20" s="25"/>
      <c r="C20" s="47"/>
      <c r="D20" s="25"/>
      <c r="E20" s="25"/>
      <c r="F20" s="38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5.75" customHeight="1">
      <c r="A21" s="23"/>
      <c r="B21" s="23"/>
      <c r="C21" s="46"/>
      <c r="D21" s="23"/>
      <c r="E21" s="23"/>
      <c r="F21" s="39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5.75" customHeight="1">
      <c r="A22" s="25"/>
      <c r="B22" s="25"/>
      <c r="C22" s="47"/>
      <c r="D22" s="25"/>
      <c r="E22" s="25"/>
      <c r="F22" s="38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5.75" customHeight="1">
      <c r="A23" s="23"/>
      <c r="B23" s="23"/>
      <c r="C23" s="46"/>
      <c r="D23" s="23"/>
      <c r="E23" s="23"/>
      <c r="F23" s="40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5.75" customHeight="1">
      <c r="A24" s="25"/>
      <c r="B24" s="25"/>
      <c r="C24" s="47"/>
      <c r="D24" s="25"/>
      <c r="E24" s="25"/>
      <c r="F24" s="4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5.75" customHeight="1">
      <c r="A25" s="23"/>
      <c r="B25" s="23"/>
      <c r="C25" s="46"/>
      <c r="D25" s="23"/>
      <c r="E25" s="23"/>
      <c r="F25" s="40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5.75" customHeight="1">
      <c r="A26" s="25"/>
      <c r="B26" s="25" t="s">
        <v>8</v>
      </c>
      <c r="C26" s="13">
        <f>SUM(C6:C22)</f>
        <v>12296000</v>
      </c>
      <c r="D26" s="25"/>
      <c r="E26" s="25" t="s">
        <v>9</v>
      </c>
      <c r="F26" s="15">
        <f>SUM(F6:F22)</f>
        <v>1425000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5.75" customHeight="1">
      <c r="A27" s="31"/>
      <c r="B27" s="31"/>
      <c r="C27" s="32"/>
      <c r="D27" s="31"/>
      <c r="E27" s="31" t="s">
        <v>10</v>
      </c>
      <c r="F27" s="45">
        <f>SUM(C26-F26)</f>
        <v>10871000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5.75" customHeight="1">
      <c r="A32" s="3"/>
      <c r="B32" s="34" t="s">
        <v>11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5.75" customHeight="1">
      <c r="A33" s="3"/>
      <c r="B33" s="17" t="s">
        <v>12</v>
      </c>
      <c r="C33" s="35">
        <f>'+Jul'!C80 - '-Jul'!C35</f>
        <v>3464500</v>
      </c>
      <c r="D33" s="3"/>
      <c r="E33" s="35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5.75" customHeight="1">
      <c r="A34" s="3"/>
      <c r="B34" s="3" t="s">
        <v>13</v>
      </c>
      <c r="C34" s="35">
        <f>'+Jul'!D80 - '-Jul'!D35</f>
        <v>1607000</v>
      </c>
      <c r="D34" s="3"/>
      <c r="E34" s="35"/>
      <c r="F34" s="3"/>
      <c r="G34" s="3"/>
      <c r="H34" s="36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5.75" customHeight="1">
      <c r="A35" s="3"/>
      <c r="B35" s="3" t="s">
        <v>14</v>
      </c>
      <c r="C35" s="35">
        <f>'+Jul'!E80 - '-Jul'!E35</f>
        <v>741000</v>
      </c>
      <c r="D35" s="3"/>
      <c r="E35" s="35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5.75" customHeight="1">
      <c r="A36" s="3"/>
      <c r="B36" s="3" t="s">
        <v>15</v>
      </c>
      <c r="C36" s="35">
        <f>'+Jul'!F80 - '-Jul'!F35</f>
        <v>1030000</v>
      </c>
      <c r="D36" s="3"/>
      <c r="E36" s="35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5.75" customHeight="1">
      <c r="A37" s="3"/>
      <c r="B37" s="3" t="s">
        <v>16</v>
      </c>
      <c r="C37" s="35">
        <f>'+Jul'!G80 - '-Jul'!G35</f>
        <v>4028500</v>
      </c>
      <c r="D37" s="3"/>
      <c r="E37" s="35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5.75" customHeight="1">
      <c r="A38" s="3"/>
      <c r="B38" s="34" t="s">
        <v>17</v>
      </c>
      <c r="C38" s="37">
        <f>SUM(C33:C37)</f>
        <v>10871000</v>
      </c>
      <c r="D38" s="3"/>
      <c r="E38" s="37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5.75" customHeight="1">
      <c r="A54" s="3"/>
      <c r="B54" s="2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C4"/>
    <mergeCell ref="D4:F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37.0"/>
    <col customWidth="1" min="3" max="3" width="18.25"/>
    <col customWidth="1" min="4" max="4" width="6.25"/>
    <col customWidth="1" min="5" max="5" width="30.25"/>
    <col customWidth="1" min="6" max="6" width="23.25"/>
  </cols>
  <sheetData>
    <row r="1" ht="15.75" customHeight="1">
      <c r="A1" s="1" t="s">
        <v>0</v>
      </c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5.75" customHeight="1">
      <c r="A2" s="4" t="s">
        <v>25</v>
      </c>
      <c r="G2" s="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5.75" customHeight="1">
      <c r="A3" s="3"/>
      <c r="B3" s="3"/>
      <c r="C3" s="3"/>
      <c r="D3" s="3"/>
      <c r="E3" s="3"/>
      <c r="F3" s="3"/>
      <c r="G3" s="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5.75" customHeight="1">
      <c r="A4" s="6" t="s">
        <v>2</v>
      </c>
      <c r="C4" s="7"/>
      <c r="D4" s="6" t="s">
        <v>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5.75" customHeight="1">
      <c r="A5" s="8" t="s">
        <v>4</v>
      </c>
      <c r="B5" s="8" t="s">
        <v>5</v>
      </c>
      <c r="C5" s="9" t="s">
        <v>6</v>
      </c>
      <c r="D5" s="8" t="s">
        <v>4</v>
      </c>
      <c r="E5" s="10" t="s">
        <v>5</v>
      </c>
      <c r="F5" s="8" t="s">
        <v>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15.75" customHeight="1">
      <c r="A6" s="11">
        <f>IFERROR(__xludf.DUMMYFUNCTION("QUERY('+Agu'!A65:H79, ""SELECT Col1, Col2, Col8 where Col8 &gt; 0"", 1)"),4.0)</f>
        <v>4</v>
      </c>
      <c r="B6" s="12" t="str">
        <f>IFERROR(__xludf.DUMMYFUNCTION("""COMPUTED_VALUE"""),"Saldo Sebelumnya")</f>
        <v>Saldo Sebelumnya</v>
      </c>
      <c r="C6" s="13">
        <f>IFERROR(__xludf.DUMMYFUNCTION("""COMPUTED_VALUE"""),1.0871E7)</f>
        <v>10871000</v>
      </c>
      <c r="D6" s="11">
        <f>IFERROR(__xludf.DUMMYFUNCTION("QUERY('-Agu'!A2:H34, ""SELECT Col1, Col2, Col8 where Col8 &gt; 0"")"),1.0)</f>
        <v>1</v>
      </c>
      <c r="E6" s="14" t="str">
        <f>IFERROR(__xludf.DUMMYFUNCTION("""COMPUTED_VALUE"""),"Iuran Penjaga Keamanan")</f>
        <v>Iuran Penjaga Keamanan</v>
      </c>
      <c r="F6" s="15">
        <f>IFERROR(__xludf.DUMMYFUNCTION("""COMPUTED_VALUE"""),600000.0)</f>
        <v>600000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15.75" customHeight="1">
      <c r="A7" s="16"/>
      <c r="B7" s="17"/>
      <c r="C7" s="18"/>
      <c r="D7" s="19">
        <f>IFERROR(__xludf.DUMMYFUNCTION("""COMPUTED_VALUE"""),2.0)</f>
        <v>2</v>
      </c>
      <c r="E7" s="20" t="str">
        <f>IFERROR(__xludf.DUMMYFUNCTION("""COMPUTED_VALUE"""),"Iuran Retribusi Sampah")</f>
        <v>Iuran Retribusi Sampah</v>
      </c>
      <c r="F7" s="21">
        <f>IFERROR(__xludf.DUMMYFUNCTION("""COMPUTED_VALUE"""),75000.0)</f>
        <v>75000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15.75" customHeight="1">
      <c r="A8" s="22"/>
      <c r="B8" s="12"/>
      <c r="C8" s="13"/>
      <c r="D8" s="22">
        <f>IFERROR(__xludf.DUMMYFUNCTION("""COMPUTED_VALUE"""),3.0)</f>
        <v>3</v>
      </c>
      <c r="E8" s="14" t="str">
        <f>IFERROR(__xludf.DUMMYFUNCTION("""COMPUTED_VALUE"""),"Iuran Tukang Sampah")</f>
        <v>Iuran Tukang Sampah</v>
      </c>
      <c r="F8" s="15">
        <f>IFERROR(__xludf.DUMMYFUNCTION("""COMPUTED_VALUE"""),750000.0)</f>
        <v>750000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5.75" customHeight="1">
      <c r="A9" s="23"/>
      <c r="B9" s="17"/>
      <c r="C9" s="24"/>
      <c r="D9" s="23"/>
      <c r="E9" s="20"/>
      <c r="F9" s="21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5.75" customHeight="1">
      <c r="A10" s="25"/>
      <c r="B10" s="25"/>
      <c r="C10" s="27"/>
      <c r="D10" s="25"/>
      <c r="E10" s="25"/>
      <c r="F10" s="1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5.75" customHeight="1">
      <c r="A11" s="23"/>
      <c r="B11" s="23"/>
      <c r="C11" s="29"/>
      <c r="D11" s="23"/>
      <c r="E11" s="23"/>
      <c r="F11" s="21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15.75" customHeight="1">
      <c r="A12" s="25"/>
      <c r="B12" s="25"/>
      <c r="C12" s="27"/>
      <c r="D12" s="25"/>
      <c r="E12" s="25"/>
      <c r="F12" s="38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15.75" customHeight="1">
      <c r="A13" s="23"/>
      <c r="B13" s="23"/>
      <c r="C13" s="29"/>
      <c r="D13" s="23"/>
      <c r="E13" s="23"/>
      <c r="F13" s="39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5.75" customHeight="1">
      <c r="A14" s="25"/>
      <c r="B14" s="25"/>
      <c r="C14" s="27"/>
      <c r="D14" s="25"/>
      <c r="E14" s="25"/>
      <c r="F14" s="38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5.75" customHeight="1">
      <c r="A15" s="23"/>
      <c r="B15" s="23"/>
      <c r="C15" s="29"/>
      <c r="D15" s="23"/>
      <c r="E15" s="23"/>
      <c r="F15" s="39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5.75" customHeight="1">
      <c r="A16" s="25"/>
      <c r="B16" s="25"/>
      <c r="C16" s="27"/>
      <c r="D16" s="25"/>
      <c r="E16" s="25"/>
      <c r="F16" s="38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5.75" customHeight="1">
      <c r="A17" s="23"/>
      <c r="B17" s="23"/>
      <c r="C17" s="29"/>
      <c r="D17" s="23"/>
      <c r="E17" s="23"/>
      <c r="F17" s="39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15.75" customHeight="1">
      <c r="A18" s="25"/>
      <c r="B18" s="25"/>
      <c r="C18" s="27"/>
      <c r="D18" s="25"/>
      <c r="E18" s="25"/>
      <c r="F18" s="38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5.75" customHeight="1">
      <c r="A19" s="23"/>
      <c r="B19" s="23"/>
      <c r="C19" s="29"/>
      <c r="D19" s="23"/>
      <c r="E19" s="23"/>
      <c r="F19" s="39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5.75" customHeight="1">
      <c r="A20" s="25"/>
      <c r="B20" s="25"/>
      <c r="C20" s="27"/>
      <c r="D20" s="25"/>
      <c r="E20" s="25"/>
      <c r="F20" s="38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5.75" customHeight="1">
      <c r="A21" s="23"/>
      <c r="B21" s="23"/>
      <c r="C21" s="29"/>
      <c r="D21" s="23"/>
      <c r="E21" s="23"/>
      <c r="F21" s="39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5.75" customHeight="1">
      <c r="A22" s="25"/>
      <c r="B22" s="25"/>
      <c r="C22" s="27"/>
      <c r="D22" s="25"/>
      <c r="E22" s="25"/>
      <c r="F22" s="38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5.75" customHeight="1">
      <c r="A23" s="23"/>
      <c r="B23" s="23"/>
      <c r="C23" s="29"/>
      <c r="D23" s="23"/>
      <c r="E23" s="23"/>
      <c r="F23" s="40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5.75" customHeight="1">
      <c r="A24" s="25"/>
      <c r="B24" s="25"/>
      <c r="C24" s="27"/>
      <c r="D24" s="25"/>
      <c r="E24" s="25"/>
      <c r="F24" s="4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5.75" customHeight="1">
      <c r="A25" s="23"/>
      <c r="B25" s="23"/>
      <c r="C25" s="29"/>
      <c r="D25" s="23"/>
      <c r="E25" s="23"/>
      <c r="F25" s="40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5.75" customHeight="1">
      <c r="A26" s="25"/>
      <c r="B26" s="25" t="s">
        <v>8</v>
      </c>
      <c r="C26" s="13">
        <f>SUM(C6:C22)</f>
        <v>10871000</v>
      </c>
      <c r="D26" s="25"/>
      <c r="E26" s="25" t="s">
        <v>9</v>
      </c>
      <c r="F26" s="15">
        <f>SUM(F6:F22)</f>
        <v>1425000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5.75" customHeight="1">
      <c r="A27" s="31"/>
      <c r="B27" s="31"/>
      <c r="C27" s="32"/>
      <c r="D27" s="31"/>
      <c r="E27" s="31" t="s">
        <v>10</v>
      </c>
      <c r="F27" s="45">
        <f>SUM(C26-F26)</f>
        <v>9446000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5.75" customHeight="1">
      <c r="A32" s="3"/>
      <c r="B32" s="34" t="s">
        <v>11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5.75" customHeight="1">
      <c r="A33" s="3"/>
      <c r="B33" s="17" t="s">
        <v>12</v>
      </c>
      <c r="C33" s="35">
        <f>'+Agu'!C80 - '-Agu'!C35</f>
        <v>2039500</v>
      </c>
      <c r="D33" s="3"/>
      <c r="E33" s="35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5.75" customHeight="1">
      <c r="A34" s="3"/>
      <c r="B34" s="3" t="s">
        <v>13</v>
      </c>
      <c r="C34" s="35">
        <f>'+Agu'!D80 - '-Agu'!D35</f>
        <v>1607000</v>
      </c>
      <c r="D34" s="3"/>
      <c r="E34" s="35"/>
      <c r="F34" s="3"/>
      <c r="G34" s="3"/>
      <c r="H34" s="36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5.75" customHeight="1">
      <c r="A35" s="3"/>
      <c r="B35" s="3" t="s">
        <v>14</v>
      </c>
      <c r="C35" s="35">
        <f>'+Agu'!E80 - '-Agu'!E35</f>
        <v>741000</v>
      </c>
      <c r="D35" s="3"/>
      <c r="E35" s="35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5.75" customHeight="1">
      <c r="A36" s="3"/>
      <c r="B36" s="3" t="s">
        <v>15</v>
      </c>
      <c r="C36" s="35">
        <f>'+Agu'!F80 - '-Agu'!F35</f>
        <v>1030000</v>
      </c>
      <c r="D36" s="3"/>
      <c r="E36" s="35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5.75" customHeight="1">
      <c r="A37" s="3"/>
      <c r="B37" s="3" t="s">
        <v>16</v>
      </c>
      <c r="C37" s="35">
        <f>'+Agu'!G80 - '-Agu'!G35</f>
        <v>4028500</v>
      </c>
      <c r="D37" s="3"/>
      <c r="E37" s="35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5.75" customHeight="1">
      <c r="A38" s="3"/>
      <c r="B38" s="34" t="s">
        <v>17</v>
      </c>
      <c r="C38" s="37">
        <f>SUM(C33:C37)</f>
        <v>9446000</v>
      </c>
      <c r="D38" s="3"/>
      <c r="E38" s="37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5.75" customHeight="1">
      <c r="A54" s="3"/>
      <c r="B54" s="2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C4"/>
    <mergeCell ref="D4:F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37.0"/>
    <col customWidth="1" min="3" max="3" width="18.25"/>
    <col customWidth="1" min="4" max="4" width="6.25"/>
    <col customWidth="1" min="5" max="5" width="30.25"/>
    <col customWidth="1" min="6" max="6" width="23.25"/>
  </cols>
  <sheetData>
    <row r="1" ht="15.75" customHeight="1">
      <c r="A1" s="1" t="s">
        <v>0</v>
      </c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5.75" customHeight="1">
      <c r="A2" s="4" t="s">
        <v>26</v>
      </c>
      <c r="G2" s="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5.75" customHeight="1">
      <c r="A3" s="3"/>
      <c r="B3" s="3"/>
      <c r="C3" s="3"/>
      <c r="D3" s="3"/>
      <c r="E3" s="3"/>
      <c r="F3" s="3"/>
      <c r="G3" s="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5.75" customHeight="1">
      <c r="A4" s="6" t="s">
        <v>2</v>
      </c>
      <c r="C4" s="7"/>
      <c r="D4" s="6" t="s">
        <v>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5.75" customHeight="1">
      <c r="A5" s="8" t="s">
        <v>4</v>
      </c>
      <c r="B5" s="8" t="s">
        <v>5</v>
      </c>
      <c r="C5" s="9" t="s">
        <v>6</v>
      </c>
      <c r="D5" s="8" t="s">
        <v>4</v>
      </c>
      <c r="E5" s="10" t="s">
        <v>5</v>
      </c>
      <c r="F5" s="8" t="s">
        <v>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15.75" customHeight="1">
      <c r="A6" s="11">
        <f>IFERROR(__xludf.DUMMYFUNCTION("QUERY('+Sep'!A65:H79, ""SELECT Col1, Col2, Col8 where Col8 &gt; 0"", 1)"),4.0)</f>
        <v>4</v>
      </c>
      <c r="B6" s="12" t="str">
        <f>IFERROR(__xludf.DUMMYFUNCTION("""COMPUTED_VALUE"""),"Saldo Sebelumnya")</f>
        <v>Saldo Sebelumnya</v>
      </c>
      <c r="C6" s="13">
        <f>IFERROR(__xludf.DUMMYFUNCTION("""COMPUTED_VALUE"""),9446000.0)</f>
        <v>9446000</v>
      </c>
      <c r="D6" s="11">
        <f>IFERROR(__xludf.DUMMYFUNCTION("QUERY('-Sep'!A2:H34, ""SELECT Col1, Col2, Col8 where Col8 &gt; 0"")"),1.0)</f>
        <v>1</v>
      </c>
      <c r="E6" s="14" t="str">
        <f>IFERROR(__xludf.DUMMYFUNCTION("""COMPUTED_VALUE"""),"Iuran Penjaga Keamanan")</f>
        <v>Iuran Penjaga Keamanan</v>
      </c>
      <c r="F6" s="15">
        <f>IFERROR(__xludf.DUMMYFUNCTION("""COMPUTED_VALUE"""),600000.0)</f>
        <v>600000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15.75" customHeight="1">
      <c r="A7" s="16"/>
      <c r="B7" s="17"/>
      <c r="C7" s="18"/>
      <c r="D7" s="19">
        <f>IFERROR(__xludf.DUMMYFUNCTION("""COMPUTED_VALUE"""),2.0)</f>
        <v>2</v>
      </c>
      <c r="E7" s="20" t="str">
        <f>IFERROR(__xludf.DUMMYFUNCTION("""COMPUTED_VALUE"""),"Iuran Retribusi Sampah")</f>
        <v>Iuran Retribusi Sampah</v>
      </c>
      <c r="F7" s="21">
        <f>IFERROR(__xludf.DUMMYFUNCTION("""COMPUTED_VALUE"""),75000.0)</f>
        <v>75000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15.75" customHeight="1">
      <c r="A8" s="22"/>
      <c r="B8" s="12"/>
      <c r="C8" s="13"/>
      <c r="D8" s="22">
        <f>IFERROR(__xludf.DUMMYFUNCTION("""COMPUTED_VALUE"""),3.0)</f>
        <v>3</v>
      </c>
      <c r="E8" s="14" t="str">
        <f>IFERROR(__xludf.DUMMYFUNCTION("""COMPUTED_VALUE"""),"Iuran Tukang Sampah")</f>
        <v>Iuran Tukang Sampah</v>
      </c>
      <c r="F8" s="15">
        <f>IFERROR(__xludf.DUMMYFUNCTION("""COMPUTED_VALUE"""),750000.0)</f>
        <v>750000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5.75" customHeight="1">
      <c r="A9" s="23"/>
      <c r="B9" s="17"/>
      <c r="C9" s="24"/>
      <c r="D9" s="23"/>
      <c r="E9" s="20"/>
      <c r="F9" s="21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5.75" customHeight="1">
      <c r="A10" s="25"/>
      <c r="B10" s="25"/>
      <c r="C10" s="27"/>
      <c r="D10" s="25"/>
      <c r="E10" s="25"/>
      <c r="F10" s="1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5.75" customHeight="1">
      <c r="A11" s="23"/>
      <c r="B11" s="23"/>
      <c r="C11" s="46"/>
      <c r="D11" s="23"/>
      <c r="E11" s="23"/>
      <c r="F11" s="21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15.75" customHeight="1">
      <c r="A12" s="25"/>
      <c r="B12" s="25"/>
      <c r="C12" s="47"/>
      <c r="D12" s="25"/>
      <c r="E12" s="25"/>
      <c r="F12" s="38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15.75" customHeight="1">
      <c r="A13" s="23"/>
      <c r="B13" s="23"/>
      <c r="C13" s="46"/>
      <c r="D13" s="23"/>
      <c r="E13" s="23"/>
      <c r="F13" s="39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5.75" customHeight="1">
      <c r="A14" s="25"/>
      <c r="B14" s="25"/>
      <c r="C14" s="47"/>
      <c r="D14" s="25"/>
      <c r="E14" s="25"/>
      <c r="F14" s="38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5.75" customHeight="1">
      <c r="A15" s="23"/>
      <c r="B15" s="23"/>
      <c r="C15" s="46"/>
      <c r="D15" s="23"/>
      <c r="E15" s="23"/>
      <c r="F15" s="39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5.75" customHeight="1">
      <c r="A16" s="25"/>
      <c r="B16" s="25"/>
      <c r="C16" s="47"/>
      <c r="D16" s="25"/>
      <c r="E16" s="25"/>
      <c r="F16" s="38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5.75" customHeight="1">
      <c r="A17" s="23"/>
      <c r="B17" s="23"/>
      <c r="C17" s="46"/>
      <c r="D17" s="23"/>
      <c r="E17" s="23"/>
      <c r="F17" s="39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15.75" customHeight="1">
      <c r="A18" s="25"/>
      <c r="B18" s="25"/>
      <c r="C18" s="47"/>
      <c r="D18" s="25"/>
      <c r="E18" s="25"/>
      <c r="F18" s="38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5.75" customHeight="1">
      <c r="A19" s="23"/>
      <c r="B19" s="23"/>
      <c r="C19" s="46"/>
      <c r="D19" s="23"/>
      <c r="E19" s="23"/>
      <c r="F19" s="39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5.75" customHeight="1">
      <c r="A20" s="25"/>
      <c r="B20" s="25"/>
      <c r="C20" s="47"/>
      <c r="D20" s="25"/>
      <c r="E20" s="25"/>
      <c r="F20" s="38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5.75" customHeight="1">
      <c r="A21" s="23"/>
      <c r="B21" s="23"/>
      <c r="C21" s="46"/>
      <c r="D21" s="23"/>
      <c r="E21" s="23"/>
      <c r="F21" s="39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5.75" customHeight="1">
      <c r="A22" s="25"/>
      <c r="B22" s="25"/>
      <c r="C22" s="47"/>
      <c r="D22" s="25"/>
      <c r="E22" s="25"/>
      <c r="F22" s="38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5.75" customHeight="1">
      <c r="A23" s="23"/>
      <c r="B23" s="23"/>
      <c r="C23" s="46"/>
      <c r="D23" s="23"/>
      <c r="E23" s="23"/>
      <c r="F23" s="40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5.75" customHeight="1">
      <c r="A24" s="25"/>
      <c r="B24" s="25"/>
      <c r="C24" s="47"/>
      <c r="D24" s="25"/>
      <c r="E24" s="25"/>
      <c r="F24" s="4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5.75" customHeight="1">
      <c r="A25" s="23"/>
      <c r="B25" s="23"/>
      <c r="C25" s="46"/>
      <c r="D25" s="23"/>
      <c r="E25" s="23"/>
      <c r="F25" s="40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5.75" customHeight="1">
      <c r="A26" s="25"/>
      <c r="B26" s="25" t="s">
        <v>8</v>
      </c>
      <c r="C26" s="13">
        <f>SUM(C6:C22)</f>
        <v>9446000</v>
      </c>
      <c r="D26" s="25"/>
      <c r="E26" s="25" t="s">
        <v>9</v>
      </c>
      <c r="F26" s="15">
        <f>SUM(F6:F22)</f>
        <v>1425000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5.75" customHeight="1">
      <c r="A27" s="23"/>
      <c r="B27" s="23"/>
      <c r="C27" s="46"/>
      <c r="D27" s="23"/>
      <c r="E27" s="23" t="s">
        <v>10</v>
      </c>
      <c r="F27" s="48">
        <f>SUM(C26-F26)</f>
        <v>8021000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5.75" customHeight="1">
      <c r="A28" s="23"/>
      <c r="B28" s="23"/>
      <c r="C28" s="23"/>
      <c r="D28" s="23"/>
      <c r="E28" s="23"/>
      <c r="F28" s="2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5.75" customHeight="1">
      <c r="A29" s="23"/>
      <c r="B29" s="23"/>
      <c r="C29" s="23"/>
      <c r="D29" s="23"/>
      <c r="E29" s="23"/>
      <c r="F29" s="2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5.75" customHeight="1">
      <c r="A30" s="23"/>
      <c r="B30" s="23"/>
      <c r="C30" s="23"/>
      <c r="D30" s="23"/>
      <c r="E30" s="23"/>
      <c r="F30" s="2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5.75" customHeight="1">
      <c r="A31" s="23"/>
      <c r="B31" s="23"/>
      <c r="C31" s="23"/>
      <c r="D31" s="23"/>
      <c r="E31" s="23"/>
      <c r="F31" s="2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5.75" customHeight="1">
      <c r="A32" s="23"/>
      <c r="B32" s="17" t="s">
        <v>11</v>
      </c>
      <c r="C32" s="23"/>
      <c r="D32" s="23"/>
      <c r="E32" s="23"/>
      <c r="F32" s="2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5.75" customHeight="1">
      <c r="A33" s="23"/>
      <c r="B33" s="17" t="s">
        <v>12</v>
      </c>
      <c r="C33" s="21">
        <f>'+Sep'!C80 - '-Sep'!C35</f>
        <v>614500</v>
      </c>
      <c r="D33" s="23"/>
      <c r="E33" s="21"/>
      <c r="F33" s="2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5.75" customHeight="1">
      <c r="A34" s="23"/>
      <c r="B34" s="23" t="s">
        <v>13</v>
      </c>
      <c r="C34" s="21">
        <f>'+Sep'!D80 - '-Sep'!D35</f>
        <v>1607000</v>
      </c>
      <c r="D34" s="23"/>
      <c r="E34" s="21"/>
      <c r="F34" s="23"/>
      <c r="G34" s="3"/>
      <c r="H34" s="36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5.75" customHeight="1">
      <c r="A35" s="23"/>
      <c r="B35" s="23" t="s">
        <v>14</v>
      </c>
      <c r="C35" s="21">
        <f>'+Sep'!E80 - '-Sep'!E35</f>
        <v>741000</v>
      </c>
      <c r="D35" s="23"/>
      <c r="E35" s="21"/>
      <c r="F35" s="2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5.75" customHeight="1">
      <c r="A36" s="23"/>
      <c r="B36" s="23" t="s">
        <v>15</v>
      </c>
      <c r="C36" s="21">
        <f>'+Sep'!F80 - '-Sep'!F35</f>
        <v>1030000</v>
      </c>
      <c r="D36" s="23"/>
      <c r="E36" s="21"/>
      <c r="F36" s="2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5.75" customHeight="1">
      <c r="A37" s="23"/>
      <c r="B37" s="23" t="s">
        <v>16</v>
      </c>
      <c r="C37" s="21">
        <f>'+Sep'!G80 - '-Sep'!G35</f>
        <v>4028500</v>
      </c>
      <c r="D37" s="23"/>
      <c r="E37" s="21"/>
      <c r="F37" s="2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5.75" customHeight="1">
      <c r="A38" s="23"/>
      <c r="B38" s="17" t="s">
        <v>17</v>
      </c>
      <c r="C38" s="49">
        <f>SUM(C33:C37)</f>
        <v>8021000</v>
      </c>
      <c r="D38" s="23"/>
      <c r="E38" s="49"/>
      <c r="F38" s="2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5.75" customHeight="1">
      <c r="A54" s="3"/>
      <c r="B54" s="2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C4"/>
    <mergeCell ref="D4:F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37.0"/>
    <col customWidth="1" min="3" max="3" width="18.25"/>
    <col customWidth="1" min="4" max="4" width="4.63"/>
    <col customWidth="1" min="5" max="5" width="30.25"/>
    <col customWidth="1" min="6" max="6" width="23.25"/>
  </cols>
  <sheetData>
    <row r="1" ht="15.75" customHeight="1">
      <c r="A1" s="1" t="s">
        <v>0</v>
      </c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5.75" customHeight="1">
      <c r="A2" s="4" t="s">
        <v>27</v>
      </c>
      <c r="G2" s="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5.75" customHeight="1">
      <c r="A3" s="3"/>
      <c r="B3" s="3"/>
      <c r="C3" s="3"/>
      <c r="D3" s="3"/>
      <c r="E3" s="3"/>
      <c r="F3" s="3"/>
      <c r="G3" s="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5.75" customHeight="1">
      <c r="A4" s="6" t="s">
        <v>2</v>
      </c>
      <c r="C4" s="7"/>
      <c r="D4" s="6" t="s">
        <v>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5.75" customHeight="1">
      <c r="A5" s="8" t="s">
        <v>4</v>
      </c>
      <c r="B5" s="8" t="s">
        <v>5</v>
      </c>
      <c r="C5" s="9" t="s">
        <v>6</v>
      </c>
      <c r="D5" s="8" t="s">
        <v>4</v>
      </c>
      <c r="E5" s="10" t="s">
        <v>5</v>
      </c>
      <c r="F5" s="8" t="s">
        <v>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15.75" customHeight="1">
      <c r="A6" s="11">
        <f>IFERROR(__xludf.DUMMYFUNCTION("QUERY('+Okt'!A65:H79, ""SELECT Col1, Col2, Col8 where Col8 &gt; 0"", 1)"),4.0)</f>
        <v>4</v>
      </c>
      <c r="B6" s="12" t="str">
        <f>IFERROR(__xludf.DUMMYFUNCTION("""COMPUTED_VALUE"""),"Saldo Sebelumnya")</f>
        <v>Saldo Sebelumnya</v>
      </c>
      <c r="C6" s="13">
        <f>IFERROR(__xludf.DUMMYFUNCTION("""COMPUTED_VALUE"""),8021000.0)</f>
        <v>8021000</v>
      </c>
      <c r="D6" s="11">
        <f>IFERROR(__xludf.DUMMYFUNCTION("QUERY('-Okt'!A2:H34, ""SELECT Col1, Col2, Col8 where Col8 &gt; 0"")"),1.0)</f>
        <v>1</v>
      </c>
      <c r="E6" s="14" t="str">
        <f>IFERROR(__xludf.DUMMYFUNCTION("""COMPUTED_VALUE"""),"Iuran Penjaga Keamanan")</f>
        <v>Iuran Penjaga Keamanan</v>
      </c>
      <c r="F6" s="15">
        <f>IFERROR(__xludf.DUMMYFUNCTION("""COMPUTED_VALUE"""),600000.0)</f>
        <v>600000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15.75" customHeight="1">
      <c r="A7" s="16"/>
      <c r="B7" s="17"/>
      <c r="C7" s="18"/>
      <c r="D7" s="19">
        <f>IFERROR(__xludf.DUMMYFUNCTION("""COMPUTED_VALUE"""),2.0)</f>
        <v>2</v>
      </c>
      <c r="E7" s="20" t="str">
        <f>IFERROR(__xludf.DUMMYFUNCTION("""COMPUTED_VALUE"""),"Iuran Retribusi Sampah")</f>
        <v>Iuran Retribusi Sampah</v>
      </c>
      <c r="F7" s="21">
        <f>IFERROR(__xludf.DUMMYFUNCTION("""COMPUTED_VALUE"""),75000.0)</f>
        <v>75000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15.75" customHeight="1">
      <c r="A8" s="22"/>
      <c r="B8" s="12"/>
      <c r="C8" s="13"/>
      <c r="D8" s="22">
        <f>IFERROR(__xludf.DUMMYFUNCTION("""COMPUTED_VALUE"""),3.0)</f>
        <v>3</v>
      </c>
      <c r="E8" s="14" t="str">
        <f>IFERROR(__xludf.DUMMYFUNCTION("""COMPUTED_VALUE"""),"Iuran Tukang Sampah")</f>
        <v>Iuran Tukang Sampah</v>
      </c>
      <c r="F8" s="15">
        <f>IFERROR(__xludf.DUMMYFUNCTION("""COMPUTED_VALUE"""),750000.0)</f>
        <v>750000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5.75" customHeight="1">
      <c r="A9" s="23"/>
      <c r="B9" s="17"/>
      <c r="C9" s="24"/>
      <c r="D9" s="23"/>
      <c r="E9" s="20"/>
      <c r="F9" s="21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5.75" customHeight="1">
      <c r="A10" s="25"/>
      <c r="B10" s="25"/>
      <c r="C10" s="27"/>
      <c r="D10" s="25"/>
      <c r="E10" s="25"/>
      <c r="F10" s="1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5.75" customHeight="1">
      <c r="A11" s="23"/>
      <c r="B11" s="23"/>
      <c r="C11" s="29"/>
      <c r="D11" s="23"/>
      <c r="E11" s="23"/>
      <c r="F11" s="21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15.75" customHeight="1">
      <c r="A12" s="25"/>
      <c r="B12" s="25"/>
      <c r="C12" s="27"/>
      <c r="D12" s="25"/>
      <c r="E12" s="25"/>
      <c r="F12" s="38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15.75" customHeight="1">
      <c r="A13" s="23"/>
      <c r="B13" s="23"/>
      <c r="C13" s="29"/>
      <c r="D13" s="23"/>
      <c r="E13" s="23"/>
      <c r="F13" s="39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5.75" customHeight="1">
      <c r="A14" s="25"/>
      <c r="B14" s="25"/>
      <c r="C14" s="27"/>
      <c r="D14" s="25"/>
      <c r="E14" s="25"/>
      <c r="F14" s="38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5.75" customHeight="1">
      <c r="A15" s="23"/>
      <c r="B15" s="23"/>
      <c r="C15" s="29"/>
      <c r="D15" s="23"/>
      <c r="E15" s="23"/>
      <c r="F15" s="39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5.75" customHeight="1">
      <c r="A16" s="25"/>
      <c r="B16" s="25"/>
      <c r="C16" s="27"/>
      <c r="D16" s="25"/>
      <c r="E16" s="25"/>
      <c r="F16" s="38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5.75" customHeight="1">
      <c r="A17" s="23"/>
      <c r="B17" s="23"/>
      <c r="C17" s="29"/>
      <c r="D17" s="23"/>
      <c r="E17" s="23"/>
      <c r="F17" s="39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15.75" customHeight="1">
      <c r="A18" s="25"/>
      <c r="B18" s="25"/>
      <c r="C18" s="27"/>
      <c r="D18" s="25"/>
      <c r="E18" s="25"/>
      <c r="F18" s="38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5.75" customHeight="1">
      <c r="A19" s="23"/>
      <c r="B19" s="23"/>
      <c r="C19" s="29"/>
      <c r="D19" s="23"/>
      <c r="E19" s="23"/>
      <c r="F19" s="39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5.75" customHeight="1">
      <c r="A20" s="25"/>
      <c r="B20" s="25"/>
      <c r="C20" s="27"/>
      <c r="D20" s="25"/>
      <c r="E20" s="25"/>
      <c r="F20" s="38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5.75" customHeight="1">
      <c r="A21" s="23"/>
      <c r="B21" s="23"/>
      <c r="C21" s="29"/>
      <c r="D21" s="23"/>
      <c r="E21" s="23"/>
      <c r="F21" s="39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5.75" customHeight="1">
      <c r="A22" s="25"/>
      <c r="B22" s="25"/>
      <c r="C22" s="27"/>
      <c r="D22" s="25"/>
      <c r="E22" s="25"/>
      <c r="F22" s="38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5.75" customHeight="1">
      <c r="A23" s="23"/>
      <c r="B23" s="23"/>
      <c r="C23" s="29"/>
      <c r="D23" s="23"/>
      <c r="E23" s="23"/>
      <c r="F23" s="40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5.75" customHeight="1">
      <c r="A24" s="25"/>
      <c r="B24" s="25"/>
      <c r="C24" s="27"/>
      <c r="D24" s="25"/>
      <c r="E24" s="25"/>
      <c r="F24" s="4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5.75" customHeight="1">
      <c r="A25" s="23"/>
      <c r="B25" s="23"/>
      <c r="C25" s="29"/>
      <c r="D25" s="23"/>
      <c r="E25" s="23"/>
      <c r="F25" s="40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5.75" customHeight="1">
      <c r="A26" s="25"/>
      <c r="B26" s="25" t="s">
        <v>8</v>
      </c>
      <c r="C26" s="13">
        <f>SUM(C6:C22)</f>
        <v>8021000</v>
      </c>
      <c r="D26" s="25"/>
      <c r="E26" s="25" t="s">
        <v>9</v>
      </c>
      <c r="F26" s="15">
        <f>SUM(F6:F22)</f>
        <v>1425000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5.75" customHeight="1">
      <c r="A27" s="31"/>
      <c r="B27" s="31"/>
      <c r="C27" s="32"/>
      <c r="D27" s="31"/>
      <c r="E27" s="31" t="s">
        <v>10</v>
      </c>
      <c r="F27" s="45">
        <f>SUM(C26-F26)</f>
        <v>6596000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5.75" customHeight="1">
      <c r="A32" s="3"/>
      <c r="B32" s="34" t="s">
        <v>11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5.75" customHeight="1">
      <c r="A33" s="3"/>
      <c r="B33" s="17" t="s">
        <v>12</v>
      </c>
      <c r="C33" s="35">
        <f>'+Okt'!C80 - '-Okt'!C35</f>
        <v>-810500</v>
      </c>
      <c r="D33" s="3"/>
      <c r="E33" s="35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5.75" customHeight="1">
      <c r="A34" s="3"/>
      <c r="B34" s="3" t="s">
        <v>13</v>
      </c>
      <c r="C34" s="35">
        <f>'+Okt'!D80 - '-Okt'!D35</f>
        <v>1607000</v>
      </c>
      <c r="D34" s="3"/>
      <c r="E34" s="35"/>
      <c r="F34" s="3"/>
      <c r="G34" s="3"/>
      <c r="H34" s="36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5.75" customHeight="1">
      <c r="A35" s="3"/>
      <c r="B35" s="3" t="s">
        <v>14</v>
      </c>
      <c r="C35" s="35">
        <f>'+Okt'!E80 - '-Okt'!E35</f>
        <v>741000</v>
      </c>
      <c r="D35" s="3"/>
      <c r="E35" s="35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5.75" customHeight="1">
      <c r="A36" s="3"/>
      <c r="B36" s="3" t="s">
        <v>15</v>
      </c>
      <c r="C36" s="35">
        <f>'+Okt'!F80 - '-Okt'!F35</f>
        <v>1030000</v>
      </c>
      <c r="D36" s="3"/>
      <c r="E36" s="35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5.75" customHeight="1">
      <c r="A37" s="3"/>
      <c r="B37" s="3" t="s">
        <v>16</v>
      </c>
      <c r="C37" s="35">
        <f>'+Okt'!G80 - '-Okt'!G35</f>
        <v>4028500</v>
      </c>
      <c r="D37" s="3"/>
      <c r="E37" s="35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5.75" customHeight="1">
      <c r="A38" s="3"/>
      <c r="B38" s="34" t="s">
        <v>17</v>
      </c>
      <c r="C38" s="37">
        <f>SUM(C33:C37)</f>
        <v>6596000</v>
      </c>
      <c r="D38" s="3"/>
      <c r="E38" s="37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5.75" customHeight="1">
      <c r="A54" s="3"/>
      <c r="B54" s="2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C4"/>
    <mergeCell ref="D4:F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37.0"/>
    <col customWidth="1" min="3" max="3" width="18.25"/>
    <col customWidth="1" min="4" max="4" width="6.25"/>
    <col customWidth="1" min="5" max="5" width="30.25"/>
    <col customWidth="1" min="6" max="6" width="23.25"/>
  </cols>
  <sheetData>
    <row r="1" ht="15.75" customHeight="1">
      <c r="A1" s="1" t="s">
        <v>0</v>
      </c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5.75" customHeight="1">
      <c r="A2" s="4" t="s">
        <v>28</v>
      </c>
      <c r="G2" s="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5.75" customHeight="1">
      <c r="A3" s="3"/>
      <c r="B3" s="3"/>
      <c r="C3" s="3"/>
      <c r="D3" s="3"/>
      <c r="E3" s="3"/>
      <c r="F3" s="3"/>
      <c r="G3" s="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5.75" customHeight="1">
      <c r="A4" s="6" t="s">
        <v>2</v>
      </c>
      <c r="C4" s="7"/>
      <c r="D4" s="6" t="s">
        <v>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5.75" customHeight="1">
      <c r="A5" s="8" t="s">
        <v>4</v>
      </c>
      <c r="B5" s="8" t="s">
        <v>5</v>
      </c>
      <c r="C5" s="9" t="s">
        <v>6</v>
      </c>
      <c r="D5" s="8" t="s">
        <v>4</v>
      </c>
      <c r="E5" s="10" t="s">
        <v>5</v>
      </c>
      <c r="F5" s="8" t="s">
        <v>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15.75" customHeight="1">
      <c r="A6" s="11">
        <f>IFERROR(__xludf.DUMMYFUNCTION("QUERY('+Nov'!A65:H79, ""SELECT Col1, Col2, Col8 where Col8 &gt; 0"", 1)"),4.0)</f>
        <v>4</v>
      </c>
      <c r="B6" s="12" t="str">
        <f>IFERROR(__xludf.DUMMYFUNCTION("""COMPUTED_VALUE"""),"Saldo Sebelumnya")</f>
        <v>Saldo Sebelumnya</v>
      </c>
      <c r="C6" s="13">
        <f>IFERROR(__xludf.DUMMYFUNCTION("""COMPUTED_VALUE"""),6596000.0)</f>
        <v>6596000</v>
      </c>
      <c r="D6" s="11">
        <f>IFERROR(__xludf.DUMMYFUNCTION("QUERY('-Nov'!A2:H34, ""SELECT Col1, Col2, Col8 where Col8 &gt; 0"")"),1.0)</f>
        <v>1</v>
      </c>
      <c r="E6" s="14" t="str">
        <f>IFERROR(__xludf.DUMMYFUNCTION("""COMPUTED_VALUE"""),"Iuran Penjaga Keamanan")</f>
        <v>Iuran Penjaga Keamanan</v>
      </c>
      <c r="F6" s="15">
        <f>IFERROR(__xludf.DUMMYFUNCTION("""COMPUTED_VALUE"""),600000.0)</f>
        <v>600000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15.75" customHeight="1">
      <c r="A7" s="16"/>
      <c r="B7" s="17"/>
      <c r="C7" s="18"/>
      <c r="D7" s="19">
        <f>IFERROR(__xludf.DUMMYFUNCTION("""COMPUTED_VALUE"""),2.0)</f>
        <v>2</v>
      </c>
      <c r="E7" s="20" t="str">
        <f>IFERROR(__xludf.DUMMYFUNCTION("""COMPUTED_VALUE"""),"Iuran Retribusi Sampah")</f>
        <v>Iuran Retribusi Sampah</v>
      </c>
      <c r="F7" s="21">
        <f>IFERROR(__xludf.DUMMYFUNCTION("""COMPUTED_VALUE"""),75000.0)</f>
        <v>75000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15.75" customHeight="1">
      <c r="A8" s="22"/>
      <c r="B8" s="12"/>
      <c r="C8" s="13"/>
      <c r="D8" s="22">
        <f>IFERROR(__xludf.DUMMYFUNCTION("""COMPUTED_VALUE"""),3.0)</f>
        <v>3</v>
      </c>
      <c r="E8" s="14" t="str">
        <f>IFERROR(__xludf.DUMMYFUNCTION("""COMPUTED_VALUE"""),"Iuran Tukang Sampah")</f>
        <v>Iuran Tukang Sampah</v>
      </c>
      <c r="F8" s="15">
        <f>IFERROR(__xludf.DUMMYFUNCTION("""COMPUTED_VALUE"""),750000.0)</f>
        <v>750000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5.75" customHeight="1">
      <c r="A9" s="23"/>
      <c r="B9" s="17"/>
      <c r="C9" s="24"/>
      <c r="D9" s="23"/>
      <c r="E9" s="20"/>
      <c r="F9" s="21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5.75" customHeight="1">
      <c r="A10" s="25"/>
      <c r="B10" s="25"/>
      <c r="C10" s="27"/>
      <c r="D10" s="25"/>
      <c r="E10" s="25"/>
      <c r="F10" s="1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5.75" customHeight="1">
      <c r="A11" s="23"/>
      <c r="B11" s="23"/>
      <c r="C11" s="46"/>
      <c r="D11" s="23"/>
      <c r="E11" s="23"/>
      <c r="F11" s="21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15.75" customHeight="1">
      <c r="A12" s="25"/>
      <c r="B12" s="25"/>
      <c r="C12" s="47"/>
      <c r="D12" s="25"/>
      <c r="E12" s="25"/>
      <c r="F12" s="38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15.75" customHeight="1">
      <c r="A13" s="23"/>
      <c r="B13" s="23"/>
      <c r="C13" s="46"/>
      <c r="D13" s="23"/>
      <c r="E13" s="23"/>
      <c r="F13" s="39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5.75" customHeight="1">
      <c r="A14" s="25"/>
      <c r="B14" s="25"/>
      <c r="C14" s="47"/>
      <c r="D14" s="25"/>
      <c r="E14" s="25"/>
      <c r="F14" s="38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5.75" customHeight="1">
      <c r="A15" s="23"/>
      <c r="B15" s="23"/>
      <c r="C15" s="46"/>
      <c r="D15" s="23"/>
      <c r="E15" s="23"/>
      <c r="F15" s="39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5.75" customHeight="1">
      <c r="A16" s="25"/>
      <c r="B16" s="25"/>
      <c r="C16" s="47"/>
      <c r="D16" s="25"/>
      <c r="E16" s="25"/>
      <c r="F16" s="38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5.75" customHeight="1">
      <c r="A17" s="23"/>
      <c r="B17" s="23"/>
      <c r="C17" s="46"/>
      <c r="D17" s="23"/>
      <c r="E17" s="23"/>
      <c r="F17" s="39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15.75" customHeight="1">
      <c r="A18" s="25"/>
      <c r="B18" s="25"/>
      <c r="C18" s="47"/>
      <c r="D18" s="25"/>
      <c r="E18" s="25"/>
      <c r="F18" s="38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5.75" customHeight="1">
      <c r="A19" s="23"/>
      <c r="B19" s="23"/>
      <c r="C19" s="46"/>
      <c r="D19" s="23"/>
      <c r="E19" s="23"/>
      <c r="F19" s="39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5.75" customHeight="1">
      <c r="A20" s="25"/>
      <c r="B20" s="25"/>
      <c r="C20" s="47"/>
      <c r="D20" s="25"/>
      <c r="E20" s="25"/>
      <c r="F20" s="38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5.75" customHeight="1">
      <c r="A21" s="23"/>
      <c r="B21" s="23"/>
      <c r="C21" s="46"/>
      <c r="D21" s="23"/>
      <c r="E21" s="23"/>
      <c r="F21" s="39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5.75" customHeight="1">
      <c r="A22" s="25"/>
      <c r="B22" s="25"/>
      <c r="C22" s="47"/>
      <c r="D22" s="25"/>
      <c r="E22" s="25"/>
      <c r="F22" s="38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5.75" customHeight="1">
      <c r="A23" s="23"/>
      <c r="B23" s="23"/>
      <c r="C23" s="46"/>
      <c r="D23" s="23"/>
      <c r="E23" s="23"/>
      <c r="F23" s="40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5.75" customHeight="1">
      <c r="A24" s="25"/>
      <c r="B24" s="25"/>
      <c r="C24" s="47"/>
      <c r="D24" s="25"/>
      <c r="E24" s="25"/>
      <c r="F24" s="4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5.75" customHeight="1">
      <c r="A25" s="23"/>
      <c r="B25" s="23"/>
      <c r="C25" s="46"/>
      <c r="D25" s="23"/>
      <c r="E25" s="23"/>
      <c r="F25" s="40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5.75" customHeight="1">
      <c r="A26" s="25"/>
      <c r="B26" s="25" t="s">
        <v>8</v>
      </c>
      <c r="C26" s="13">
        <f>SUM(C6:C22)</f>
        <v>6596000</v>
      </c>
      <c r="D26" s="25"/>
      <c r="E26" s="25" t="s">
        <v>9</v>
      </c>
      <c r="F26" s="15">
        <f>SUM(F6:F22)</f>
        <v>1425000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5.75" customHeight="1">
      <c r="A27" s="23"/>
      <c r="B27" s="23"/>
      <c r="C27" s="46"/>
      <c r="D27" s="23"/>
      <c r="E27" s="23" t="s">
        <v>10</v>
      </c>
      <c r="F27" s="48">
        <f>SUM(C26-F26)</f>
        <v>5171000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5.75" customHeight="1">
      <c r="A32" s="3"/>
      <c r="B32" s="34" t="s">
        <v>11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5.75" customHeight="1">
      <c r="A33" s="3"/>
      <c r="B33" s="17" t="s">
        <v>12</v>
      </c>
      <c r="C33" s="35">
        <f>'+Nov'!C80 - '-Nov'!C35</f>
        <v>-2235500</v>
      </c>
      <c r="D33" s="3"/>
      <c r="E33" s="35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5.75" customHeight="1">
      <c r="A34" s="3"/>
      <c r="B34" s="3" t="s">
        <v>13</v>
      </c>
      <c r="C34" s="35">
        <f>'+Nov'!D80 - '-Nov'!D35</f>
        <v>1607000</v>
      </c>
      <c r="D34" s="3"/>
      <c r="E34" s="35"/>
      <c r="F34" s="3"/>
      <c r="G34" s="3"/>
      <c r="H34" s="36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5.75" customHeight="1">
      <c r="A35" s="3"/>
      <c r="B35" s="3" t="s">
        <v>14</v>
      </c>
      <c r="C35" s="35">
        <f>'+Nov'!E80 - '-Nov'!E35</f>
        <v>741000</v>
      </c>
      <c r="D35" s="3"/>
      <c r="E35" s="35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5.75" customHeight="1">
      <c r="A36" s="3"/>
      <c r="B36" s="3" t="s">
        <v>15</v>
      </c>
      <c r="C36" s="35">
        <f>'+Nov'!F80 - '-Nov'!F35</f>
        <v>1030000</v>
      </c>
      <c r="D36" s="3"/>
      <c r="E36" s="35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5.75" customHeight="1">
      <c r="A37" s="3"/>
      <c r="B37" s="3" t="s">
        <v>16</v>
      </c>
      <c r="C37" s="35">
        <f>'+Nov'!G80 - '-Nov'!G35</f>
        <v>4028500</v>
      </c>
      <c r="D37" s="3"/>
      <c r="E37" s="35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5.75" customHeight="1">
      <c r="A38" s="3"/>
      <c r="B38" s="34" t="s">
        <v>17</v>
      </c>
      <c r="C38" s="37">
        <f>SUM(C33:C37)</f>
        <v>5171000</v>
      </c>
      <c r="D38" s="3"/>
      <c r="E38" s="37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5.75" customHeight="1">
      <c r="A54" s="3"/>
      <c r="B54" s="2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C4"/>
    <mergeCell ref="D4:F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37.0"/>
    <col customWidth="1" min="3" max="3" width="18.25"/>
    <col customWidth="1" min="4" max="4" width="6.25"/>
    <col customWidth="1" min="5" max="5" width="30.25"/>
    <col customWidth="1" min="6" max="6" width="23.25"/>
  </cols>
  <sheetData>
    <row r="1" ht="15.75" customHeight="1">
      <c r="A1" s="1" t="s">
        <v>0</v>
      </c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5.75" customHeight="1">
      <c r="A2" s="4" t="s">
        <v>29</v>
      </c>
      <c r="G2" s="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5.75" customHeight="1">
      <c r="A3" s="3"/>
      <c r="B3" s="3"/>
      <c r="C3" s="3"/>
      <c r="D3" s="3"/>
      <c r="E3" s="3"/>
      <c r="F3" s="3"/>
      <c r="G3" s="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5.75" customHeight="1">
      <c r="A4" s="6" t="s">
        <v>2</v>
      </c>
      <c r="C4" s="7"/>
      <c r="D4" s="6" t="s">
        <v>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5.75" customHeight="1">
      <c r="A5" s="8" t="s">
        <v>4</v>
      </c>
      <c r="B5" s="8" t="s">
        <v>5</v>
      </c>
      <c r="C5" s="9" t="s">
        <v>6</v>
      </c>
      <c r="D5" s="8" t="s">
        <v>4</v>
      </c>
      <c r="E5" s="10" t="s">
        <v>5</v>
      </c>
      <c r="F5" s="8" t="s">
        <v>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15.75" customHeight="1">
      <c r="A6" s="11">
        <f>IFERROR(__xludf.DUMMYFUNCTION("QUERY('+Des'!A65:H79, ""SELECT Col1, Col2, Col8 where Col8 &gt; 0"", 1)"),4.0)</f>
        <v>4</v>
      </c>
      <c r="B6" s="12" t="str">
        <f>IFERROR(__xludf.DUMMYFUNCTION("""COMPUTED_VALUE"""),"Saldo Sebelumnya")</f>
        <v>Saldo Sebelumnya</v>
      </c>
      <c r="C6" s="13">
        <f>IFERROR(__xludf.DUMMYFUNCTION("""COMPUTED_VALUE"""),5171000.0)</f>
        <v>5171000</v>
      </c>
      <c r="D6" s="11">
        <f>IFERROR(__xludf.DUMMYFUNCTION("QUERY('-Des'!A2:H34, ""SELECT Col1, Col2, Col8 where Col8 &gt; 0"")"),1.0)</f>
        <v>1</v>
      </c>
      <c r="E6" s="14" t="str">
        <f>IFERROR(__xludf.DUMMYFUNCTION("""COMPUTED_VALUE"""),"Iuran Penjaga Keamanan")</f>
        <v>Iuran Penjaga Keamanan</v>
      </c>
      <c r="F6" s="15">
        <f>IFERROR(__xludf.DUMMYFUNCTION("""COMPUTED_VALUE"""),600000.0)</f>
        <v>600000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15.75" customHeight="1">
      <c r="A7" s="16"/>
      <c r="B7" s="17"/>
      <c r="C7" s="18"/>
      <c r="D7" s="19">
        <f>IFERROR(__xludf.DUMMYFUNCTION("""COMPUTED_VALUE"""),2.0)</f>
        <v>2</v>
      </c>
      <c r="E7" s="20" t="str">
        <f>IFERROR(__xludf.DUMMYFUNCTION("""COMPUTED_VALUE"""),"Iuran Retribusi Sampah")</f>
        <v>Iuran Retribusi Sampah</v>
      </c>
      <c r="F7" s="21">
        <f>IFERROR(__xludf.DUMMYFUNCTION("""COMPUTED_VALUE"""),75000.0)</f>
        <v>75000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15.75" customHeight="1">
      <c r="A8" s="22"/>
      <c r="B8" s="12"/>
      <c r="C8" s="13"/>
      <c r="D8" s="22">
        <f>IFERROR(__xludf.DUMMYFUNCTION("""COMPUTED_VALUE"""),3.0)</f>
        <v>3</v>
      </c>
      <c r="E8" s="14" t="str">
        <f>IFERROR(__xludf.DUMMYFUNCTION("""COMPUTED_VALUE"""),"Iuran Tukang Sampah")</f>
        <v>Iuran Tukang Sampah</v>
      </c>
      <c r="F8" s="15">
        <f>IFERROR(__xludf.DUMMYFUNCTION("""COMPUTED_VALUE"""),750000.0)</f>
        <v>750000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5.75" customHeight="1">
      <c r="A9" s="23"/>
      <c r="B9" s="17"/>
      <c r="C9" s="24"/>
      <c r="D9" s="23"/>
      <c r="E9" s="20"/>
      <c r="F9" s="21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5.75" customHeight="1">
      <c r="A10" s="25"/>
      <c r="B10" s="25"/>
      <c r="C10" s="27"/>
      <c r="D10" s="25"/>
      <c r="E10" s="25"/>
      <c r="F10" s="1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5.75" customHeight="1">
      <c r="A11" s="23"/>
      <c r="B11" s="23"/>
      <c r="C11" s="46"/>
      <c r="D11" s="23"/>
      <c r="E11" s="23"/>
      <c r="F11" s="21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15.75" customHeight="1">
      <c r="A12" s="25"/>
      <c r="B12" s="25"/>
      <c r="C12" s="47"/>
      <c r="D12" s="25"/>
      <c r="E12" s="25"/>
      <c r="F12" s="38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15.75" customHeight="1">
      <c r="A13" s="23"/>
      <c r="B13" s="23"/>
      <c r="C13" s="46"/>
      <c r="D13" s="23"/>
      <c r="E13" s="23"/>
      <c r="F13" s="39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5.75" customHeight="1">
      <c r="A14" s="25"/>
      <c r="B14" s="25"/>
      <c r="C14" s="47"/>
      <c r="D14" s="25"/>
      <c r="E14" s="25"/>
      <c r="F14" s="38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5.75" customHeight="1">
      <c r="A15" s="23"/>
      <c r="B15" s="23"/>
      <c r="C15" s="46"/>
      <c r="D15" s="23"/>
      <c r="E15" s="23"/>
      <c r="F15" s="39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5.75" customHeight="1">
      <c r="A16" s="25"/>
      <c r="B16" s="25"/>
      <c r="C16" s="47"/>
      <c r="D16" s="25"/>
      <c r="E16" s="25"/>
      <c r="F16" s="38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5.75" customHeight="1">
      <c r="A17" s="23"/>
      <c r="B17" s="23"/>
      <c r="C17" s="46"/>
      <c r="D17" s="23"/>
      <c r="E17" s="23"/>
      <c r="F17" s="39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15.75" customHeight="1">
      <c r="A18" s="25"/>
      <c r="B18" s="25"/>
      <c r="C18" s="47"/>
      <c r="D18" s="25"/>
      <c r="E18" s="25"/>
      <c r="F18" s="38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5.75" customHeight="1">
      <c r="A19" s="23"/>
      <c r="B19" s="23"/>
      <c r="C19" s="46"/>
      <c r="D19" s="23"/>
      <c r="E19" s="23"/>
      <c r="F19" s="39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5.75" customHeight="1">
      <c r="A20" s="25"/>
      <c r="B20" s="25"/>
      <c r="C20" s="47"/>
      <c r="D20" s="25"/>
      <c r="E20" s="25"/>
      <c r="F20" s="38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5.75" customHeight="1">
      <c r="A21" s="23"/>
      <c r="B21" s="23"/>
      <c r="C21" s="46"/>
      <c r="D21" s="23"/>
      <c r="E21" s="23"/>
      <c r="F21" s="39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5.75" customHeight="1">
      <c r="A22" s="25"/>
      <c r="B22" s="25"/>
      <c r="C22" s="47"/>
      <c r="D22" s="25"/>
      <c r="E22" s="25"/>
      <c r="F22" s="38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5.75" customHeight="1">
      <c r="A23" s="23"/>
      <c r="B23" s="23"/>
      <c r="C23" s="46"/>
      <c r="D23" s="23"/>
      <c r="E23" s="23"/>
      <c r="F23" s="40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5.75" customHeight="1">
      <c r="A24" s="25"/>
      <c r="B24" s="25"/>
      <c r="C24" s="47"/>
      <c r="D24" s="25"/>
      <c r="E24" s="25"/>
      <c r="F24" s="4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5.75" customHeight="1">
      <c r="A25" s="23"/>
      <c r="B25" s="23"/>
      <c r="C25" s="46"/>
      <c r="D25" s="23"/>
      <c r="E25" s="23"/>
      <c r="F25" s="40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5.75" customHeight="1">
      <c r="A26" s="25"/>
      <c r="B26" s="25" t="s">
        <v>8</v>
      </c>
      <c r="C26" s="13">
        <f>SUM(C6:C22)</f>
        <v>5171000</v>
      </c>
      <c r="D26" s="25"/>
      <c r="E26" s="25" t="s">
        <v>9</v>
      </c>
      <c r="F26" s="15">
        <f>SUM(F6:F22)</f>
        <v>1425000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5.75" customHeight="1">
      <c r="A27" s="31"/>
      <c r="B27" s="31"/>
      <c r="C27" s="32"/>
      <c r="D27" s="31"/>
      <c r="E27" s="31" t="s">
        <v>10</v>
      </c>
      <c r="F27" s="45">
        <f>SUM(C26-F26)</f>
        <v>3746000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5.75" customHeight="1">
      <c r="A32" s="3"/>
      <c r="B32" s="34" t="s">
        <v>11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5.75" customHeight="1">
      <c r="A33" s="3"/>
      <c r="B33" s="17" t="s">
        <v>12</v>
      </c>
      <c r="C33" s="35">
        <f>'+Des'!C80 - '-Des'!C35</f>
        <v>-3660500</v>
      </c>
      <c r="D33" s="3"/>
      <c r="E33" s="35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5.75" customHeight="1">
      <c r="A34" s="3"/>
      <c r="B34" s="3" t="s">
        <v>13</v>
      </c>
      <c r="C34" s="35">
        <f>'+Des'!D80 - '-Des'!D35</f>
        <v>1607000</v>
      </c>
      <c r="D34" s="3"/>
      <c r="E34" s="35"/>
      <c r="F34" s="3"/>
      <c r="G34" s="3"/>
      <c r="H34" s="36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5.75" customHeight="1">
      <c r="A35" s="3"/>
      <c r="B35" s="3" t="s">
        <v>14</v>
      </c>
      <c r="C35" s="35">
        <f>'+Des'!E80 - '-Des'!E35</f>
        <v>741000</v>
      </c>
      <c r="D35" s="3"/>
      <c r="E35" s="35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5.75" customHeight="1">
      <c r="A36" s="3"/>
      <c r="B36" s="3" t="s">
        <v>15</v>
      </c>
      <c r="C36" s="35">
        <f>'+Des'!F80 - '-Des'!F35</f>
        <v>1030000</v>
      </c>
      <c r="D36" s="3"/>
      <c r="E36" s="35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5.75" customHeight="1">
      <c r="A37" s="3"/>
      <c r="B37" s="3" t="s">
        <v>16</v>
      </c>
      <c r="C37" s="35">
        <f>'+Des'!G80 - '-Des'!G35</f>
        <v>4028500</v>
      </c>
      <c r="D37" s="3"/>
      <c r="E37" s="35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5.75" customHeight="1">
      <c r="A38" s="3"/>
      <c r="B38" s="34" t="s">
        <v>17</v>
      </c>
      <c r="C38" s="37">
        <f>SUM(C33:C37)</f>
        <v>3746000</v>
      </c>
      <c r="D38" s="3"/>
      <c r="E38" s="37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5.75" customHeight="1">
      <c r="A54" s="3"/>
      <c r="B54" s="2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C4"/>
    <mergeCell ref="D4:F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63"/>
    <col customWidth="1" min="2" max="2" width="23.13"/>
    <col customWidth="1" min="3" max="3" width="14.0"/>
    <col customWidth="1" min="4" max="4" width="13.38"/>
    <col customWidth="1" min="5" max="5" width="14.0"/>
    <col customWidth="1" min="6" max="6" width="13.25"/>
    <col customWidth="1" min="7" max="7" width="14.0"/>
    <col customWidth="1" min="9" max="9" width="14.13"/>
  </cols>
  <sheetData>
    <row r="1" ht="15.75" customHeight="1">
      <c r="A1" s="3"/>
      <c r="B1" s="3" t="s">
        <v>30</v>
      </c>
      <c r="C1" s="50" t="s">
        <v>31</v>
      </c>
      <c r="D1" s="3" t="s">
        <v>32</v>
      </c>
      <c r="E1" s="3" t="s">
        <v>33</v>
      </c>
      <c r="F1" s="3" t="s">
        <v>34</v>
      </c>
      <c r="G1" s="50" t="s">
        <v>35</v>
      </c>
      <c r="H1" s="3"/>
      <c r="I1" s="51" t="s">
        <v>36</v>
      </c>
      <c r="J1" s="3"/>
      <c r="K1" s="3"/>
      <c r="L1" s="3"/>
      <c r="M1" s="3"/>
      <c r="N1" s="3"/>
      <c r="O1" s="5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15.75" customHeight="1">
      <c r="A2" s="3"/>
      <c r="B2" s="3" t="s">
        <v>37</v>
      </c>
      <c r="C2" s="36"/>
      <c r="D2" s="36"/>
      <c r="E2" s="36"/>
      <c r="F2" s="36"/>
      <c r="G2" s="36"/>
      <c r="H2" s="36"/>
      <c r="I2" s="5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15.75" customHeight="1">
      <c r="A3" s="54">
        <v>1.0</v>
      </c>
      <c r="B3" s="3" t="s">
        <v>38</v>
      </c>
      <c r="C3" s="55">
        <v>35000.0</v>
      </c>
      <c r="D3" s="55">
        <v>5000.0</v>
      </c>
      <c r="E3" s="55">
        <v>2500.0</v>
      </c>
      <c r="F3" s="55">
        <v>2500.0</v>
      </c>
      <c r="G3" s="55">
        <v>5000.0</v>
      </c>
      <c r="H3" s="36"/>
      <c r="I3" s="56">
        <f t="shared" ref="I3:I21" si="1">SUM(C3:F3)</f>
        <v>45000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15.75" customHeight="1">
      <c r="A4" s="54">
        <v>2.0</v>
      </c>
      <c r="B4" s="3" t="s">
        <v>39</v>
      </c>
      <c r="C4" s="55">
        <v>35000.0</v>
      </c>
      <c r="D4" s="55">
        <v>5000.0</v>
      </c>
      <c r="E4" s="55">
        <v>2500.0</v>
      </c>
      <c r="F4" s="55">
        <v>2500.0</v>
      </c>
      <c r="G4" s="55">
        <v>5000.0</v>
      </c>
      <c r="H4" s="36"/>
      <c r="I4" s="56">
        <f t="shared" si="1"/>
        <v>45000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ht="15.75" customHeight="1">
      <c r="A5" s="54">
        <v>3.0</v>
      </c>
      <c r="B5" s="3" t="s">
        <v>40</v>
      </c>
      <c r="C5" s="55">
        <v>35000.0</v>
      </c>
      <c r="D5" s="55">
        <v>5000.0</v>
      </c>
      <c r="E5" s="55">
        <v>2500.0</v>
      </c>
      <c r="F5" s="55">
        <v>2500.0</v>
      </c>
      <c r="G5" s="55">
        <v>5000.0</v>
      </c>
      <c r="H5" s="36"/>
      <c r="I5" s="56">
        <f t="shared" si="1"/>
        <v>45000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15.75" customHeight="1">
      <c r="A6" s="54">
        <v>4.0</v>
      </c>
      <c r="B6" s="3" t="s">
        <v>41</v>
      </c>
      <c r="C6" s="55">
        <v>35000.0</v>
      </c>
      <c r="D6" s="55">
        <v>5000.0</v>
      </c>
      <c r="E6" s="55">
        <v>2500.0</v>
      </c>
      <c r="F6" s="55">
        <v>2500.0</v>
      </c>
      <c r="G6" s="55">
        <v>5000.0</v>
      </c>
      <c r="H6" s="36"/>
      <c r="I6" s="56">
        <f t="shared" si="1"/>
        <v>45000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ht="15.75" customHeight="1">
      <c r="A7" s="54">
        <v>5.0</v>
      </c>
      <c r="B7" s="3" t="s">
        <v>42</v>
      </c>
      <c r="C7" s="55">
        <v>35000.0</v>
      </c>
      <c r="D7" s="55">
        <v>5000.0</v>
      </c>
      <c r="E7" s="55">
        <v>2500.0</v>
      </c>
      <c r="F7" s="55">
        <v>2500.0</v>
      </c>
      <c r="G7" s="55">
        <v>5000.0</v>
      </c>
      <c r="H7" s="36"/>
      <c r="I7" s="56">
        <f t="shared" si="1"/>
        <v>45000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ht="15.75" customHeight="1">
      <c r="A8" s="54">
        <v>6.0</v>
      </c>
      <c r="B8" s="3" t="s">
        <v>43</v>
      </c>
      <c r="C8" s="55">
        <v>70000.0</v>
      </c>
      <c r="D8" s="55">
        <v>10000.0</v>
      </c>
      <c r="E8" s="55">
        <v>2500.0</v>
      </c>
      <c r="F8" s="55">
        <v>2500.0</v>
      </c>
      <c r="G8" s="55">
        <v>5000.0</v>
      </c>
      <c r="H8" s="36"/>
      <c r="I8" s="56">
        <f t="shared" si="1"/>
        <v>85000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15.75" customHeight="1">
      <c r="A9" s="54">
        <v>7.0</v>
      </c>
      <c r="B9" s="3" t="s">
        <v>44</v>
      </c>
      <c r="C9" s="55">
        <v>35000.0</v>
      </c>
      <c r="D9" s="55">
        <v>5000.0</v>
      </c>
      <c r="E9" s="55">
        <v>2500.0</v>
      </c>
      <c r="F9" s="55">
        <v>2500.0</v>
      </c>
      <c r="G9" s="55">
        <v>5000.0</v>
      </c>
      <c r="H9" s="36"/>
      <c r="I9" s="56">
        <f t="shared" si="1"/>
        <v>45000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57"/>
      <c r="Z9" s="3"/>
      <c r="AA9" s="3"/>
      <c r="AB9" s="3"/>
      <c r="AC9" s="3"/>
    </row>
    <row r="10" ht="15.75" customHeight="1">
      <c r="A10" s="54">
        <v>8.0</v>
      </c>
      <c r="B10" s="3" t="s">
        <v>45</v>
      </c>
      <c r="C10" s="55">
        <v>35000.0</v>
      </c>
      <c r="D10" s="55">
        <v>5000.0</v>
      </c>
      <c r="E10" s="55">
        <v>2500.0</v>
      </c>
      <c r="F10" s="55">
        <v>2500.0</v>
      </c>
      <c r="G10" s="55">
        <v>5000.0</v>
      </c>
      <c r="H10" s="36"/>
      <c r="I10" s="56">
        <f t="shared" si="1"/>
        <v>45000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15.75" customHeight="1">
      <c r="A11" s="54">
        <v>9.0</v>
      </c>
      <c r="B11" s="3" t="s">
        <v>46</v>
      </c>
      <c r="C11" s="55">
        <v>35000.0</v>
      </c>
      <c r="D11" s="55">
        <v>5000.0</v>
      </c>
      <c r="E11" s="55">
        <v>2500.0</v>
      </c>
      <c r="F11" s="55">
        <v>2500.0</v>
      </c>
      <c r="G11" s="55">
        <v>5000.0</v>
      </c>
      <c r="H11" s="36"/>
      <c r="I11" s="56">
        <f t="shared" si="1"/>
        <v>45000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15.75" customHeight="1">
      <c r="A12" s="54">
        <v>10.0</v>
      </c>
      <c r="B12" s="3" t="s">
        <v>47</v>
      </c>
      <c r="C12" s="55">
        <v>35000.0</v>
      </c>
      <c r="D12" s="55">
        <v>5000.0</v>
      </c>
      <c r="E12" s="55">
        <v>2500.0</v>
      </c>
      <c r="F12" s="55">
        <v>2500.0</v>
      </c>
      <c r="G12" s="55">
        <v>5000.0</v>
      </c>
      <c r="H12" s="36"/>
      <c r="I12" s="56">
        <f t="shared" si="1"/>
        <v>45000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ht="15.75" customHeight="1">
      <c r="A13" s="54">
        <v>11.0</v>
      </c>
      <c r="B13" s="3" t="s">
        <v>48</v>
      </c>
      <c r="C13" s="55">
        <v>35000.0</v>
      </c>
      <c r="D13" s="55">
        <v>5000.0</v>
      </c>
      <c r="E13" s="55">
        <v>2500.0</v>
      </c>
      <c r="F13" s="55">
        <v>2500.0</v>
      </c>
      <c r="G13" s="55">
        <v>5000.0</v>
      </c>
      <c r="H13" s="36"/>
      <c r="I13" s="56">
        <f t="shared" si="1"/>
        <v>45000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15.75" customHeight="1">
      <c r="A14" s="54">
        <v>12.0</v>
      </c>
      <c r="B14" s="3" t="s">
        <v>49</v>
      </c>
      <c r="C14" s="58">
        <v>0.0</v>
      </c>
      <c r="D14" s="59">
        <v>0.0</v>
      </c>
      <c r="E14" s="59">
        <v>0.0</v>
      </c>
      <c r="F14" s="59">
        <v>0.0</v>
      </c>
      <c r="G14" s="59">
        <v>0.0</v>
      </c>
      <c r="H14" s="36"/>
      <c r="I14" s="56">
        <f t="shared" si="1"/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15.75" customHeight="1">
      <c r="A15" s="54">
        <v>13.0</v>
      </c>
      <c r="B15" s="3" t="s">
        <v>50</v>
      </c>
      <c r="C15" s="55">
        <v>35000.0</v>
      </c>
      <c r="D15" s="55">
        <v>5000.0</v>
      </c>
      <c r="E15" s="55">
        <v>2500.0</v>
      </c>
      <c r="F15" s="55">
        <v>2500.0</v>
      </c>
      <c r="G15" s="55">
        <v>5000.0</v>
      </c>
      <c r="H15" s="36"/>
      <c r="I15" s="56">
        <f t="shared" si="1"/>
        <v>45000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15.75" customHeight="1">
      <c r="A16" s="54">
        <v>14.0</v>
      </c>
      <c r="B16" s="3" t="s">
        <v>51</v>
      </c>
      <c r="C16" s="55">
        <v>35000.0</v>
      </c>
      <c r="D16" s="55">
        <v>5000.0</v>
      </c>
      <c r="E16" s="55">
        <v>2500.0</v>
      </c>
      <c r="F16" s="55">
        <v>2500.0</v>
      </c>
      <c r="G16" s="55">
        <v>5000.0</v>
      </c>
      <c r="H16" s="36"/>
      <c r="I16" s="56">
        <f t="shared" si="1"/>
        <v>45000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ht="15.75" customHeight="1">
      <c r="A17" s="54">
        <v>15.0</v>
      </c>
      <c r="B17" s="3" t="s">
        <v>52</v>
      </c>
      <c r="C17" s="58">
        <v>0.0</v>
      </c>
      <c r="D17" s="59">
        <v>0.0</v>
      </c>
      <c r="E17" s="59">
        <v>0.0</v>
      </c>
      <c r="F17" s="59">
        <v>0.0</v>
      </c>
      <c r="G17" s="59">
        <v>0.0</v>
      </c>
      <c r="H17" s="36"/>
      <c r="I17" s="56">
        <f t="shared" si="1"/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ht="15.75" customHeight="1">
      <c r="A18" s="54">
        <v>16.0</v>
      </c>
      <c r="B18" s="3" t="s">
        <v>53</v>
      </c>
      <c r="C18" s="58">
        <v>0.0</v>
      </c>
      <c r="D18" s="59">
        <v>0.0</v>
      </c>
      <c r="E18" s="59">
        <v>0.0</v>
      </c>
      <c r="F18" s="59">
        <v>0.0</v>
      </c>
      <c r="G18" s="59">
        <v>0.0</v>
      </c>
      <c r="H18" s="36"/>
      <c r="I18" s="56">
        <f t="shared" si="1"/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ht="15.75" customHeight="1">
      <c r="A19" s="54">
        <v>17.0</v>
      </c>
      <c r="B19" s="3" t="s">
        <v>54</v>
      </c>
      <c r="C19" s="55">
        <v>35000.0</v>
      </c>
      <c r="D19" s="55">
        <v>5000.0</v>
      </c>
      <c r="E19" s="55">
        <v>2500.0</v>
      </c>
      <c r="F19" s="55">
        <v>2500.0</v>
      </c>
      <c r="G19" s="55">
        <v>5000.0</v>
      </c>
      <c r="H19" s="36"/>
      <c r="I19" s="56">
        <f t="shared" si="1"/>
        <v>45000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ht="15.75" customHeight="1">
      <c r="A20" s="54">
        <v>18.0</v>
      </c>
      <c r="B20" s="3" t="s">
        <v>55</v>
      </c>
      <c r="C20" s="58">
        <v>0.0</v>
      </c>
      <c r="D20" s="59">
        <v>0.0</v>
      </c>
      <c r="E20" s="59">
        <v>0.0</v>
      </c>
      <c r="F20" s="59">
        <v>0.0</v>
      </c>
      <c r="G20" s="59">
        <v>0.0</v>
      </c>
      <c r="H20" s="36"/>
      <c r="I20" s="56">
        <f t="shared" si="1"/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ht="15.75" customHeight="1">
      <c r="A21" s="54">
        <v>19.0</v>
      </c>
      <c r="B21" s="3" t="s">
        <v>56</v>
      </c>
      <c r="C21" s="55">
        <v>35000.0</v>
      </c>
      <c r="D21" s="55">
        <v>5000.0</v>
      </c>
      <c r="E21" s="55">
        <v>2500.0</v>
      </c>
      <c r="F21" s="55">
        <v>2500.0</v>
      </c>
      <c r="G21" s="55">
        <v>5000.0</v>
      </c>
      <c r="H21" s="36"/>
      <c r="I21" s="56">
        <f t="shared" si="1"/>
        <v>45000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ht="15.75" customHeight="1">
      <c r="A22" s="3"/>
      <c r="B22" s="3"/>
      <c r="C22" s="36"/>
      <c r="D22" s="36"/>
      <c r="E22" s="36"/>
      <c r="F22" s="36"/>
      <c r="G22" s="36"/>
      <c r="H22" s="36"/>
      <c r="I22" s="56">
        <f>SUM(I3:I21)</f>
        <v>715000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ht="15.75" customHeight="1">
      <c r="A23" s="3"/>
      <c r="B23" s="3"/>
      <c r="C23" s="36"/>
      <c r="D23" s="36"/>
      <c r="E23" s="36"/>
      <c r="F23" s="36"/>
      <c r="G23" s="36"/>
      <c r="H23" s="36"/>
      <c r="I23" s="5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ht="15.75" customHeight="1">
      <c r="A24" s="3"/>
      <c r="B24" s="3"/>
      <c r="C24" s="36"/>
      <c r="D24" s="36"/>
      <c r="E24" s="36"/>
      <c r="F24" s="36"/>
      <c r="G24" s="36"/>
      <c r="H24" s="36"/>
      <c r="I24" s="5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ht="15.75" customHeight="1">
      <c r="A25" s="3"/>
      <c r="B25" s="3"/>
      <c r="C25" s="36"/>
      <c r="D25" s="36"/>
      <c r="E25" s="36"/>
      <c r="F25" s="36"/>
      <c r="G25" s="36"/>
      <c r="H25" s="36"/>
      <c r="I25" s="5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ht="15.75" customHeight="1">
      <c r="A26" s="3"/>
      <c r="B26" s="60" t="s">
        <v>57</v>
      </c>
      <c r="C26" s="61"/>
      <c r="D26" s="61"/>
      <c r="E26" s="61"/>
      <c r="F26" s="61"/>
      <c r="G26" s="61"/>
      <c r="H26" s="36"/>
      <c r="I26" s="5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ht="15.75" customHeight="1">
      <c r="A27" s="62">
        <v>1.0</v>
      </c>
      <c r="B27" s="60" t="s">
        <v>58</v>
      </c>
      <c r="C27" s="63">
        <v>35000.0</v>
      </c>
      <c r="D27" s="63">
        <v>5000.0</v>
      </c>
      <c r="E27" s="63">
        <v>2500.0</v>
      </c>
      <c r="F27" s="63">
        <v>2500.0</v>
      </c>
      <c r="G27" s="63">
        <v>5000.0</v>
      </c>
      <c r="H27" s="36"/>
      <c r="I27" s="5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ht="15.75" customHeight="1">
      <c r="A28" s="62">
        <v>2.0</v>
      </c>
      <c r="B28" s="60" t="s">
        <v>59</v>
      </c>
      <c r="C28" s="63">
        <v>35000.0</v>
      </c>
      <c r="D28" s="63">
        <v>5000.0</v>
      </c>
      <c r="E28" s="63">
        <v>2500.0</v>
      </c>
      <c r="F28" s="63">
        <v>2500.0</v>
      </c>
      <c r="G28" s="63">
        <v>5000.0</v>
      </c>
      <c r="H28" s="36"/>
      <c r="I28" s="5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ht="15.75" customHeight="1">
      <c r="A29" s="62">
        <v>3.0</v>
      </c>
      <c r="B29" s="60" t="s">
        <v>60</v>
      </c>
      <c r="C29" s="63">
        <v>35000.0</v>
      </c>
      <c r="D29" s="63">
        <v>5000.0</v>
      </c>
      <c r="E29" s="63">
        <v>2500.0</v>
      </c>
      <c r="F29" s="63">
        <v>2500.0</v>
      </c>
      <c r="G29" s="63">
        <v>5000.0</v>
      </c>
      <c r="H29" s="36"/>
      <c r="I29" s="5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ht="15.75" customHeight="1">
      <c r="A30" s="62">
        <v>4.0</v>
      </c>
      <c r="B30" s="60" t="s">
        <v>61</v>
      </c>
      <c r="C30" s="63">
        <v>35000.0</v>
      </c>
      <c r="D30" s="63">
        <v>5000.0</v>
      </c>
      <c r="E30" s="63">
        <v>2500.0</v>
      </c>
      <c r="F30" s="63">
        <v>2500.0</v>
      </c>
      <c r="G30" s="63">
        <v>5000.0</v>
      </c>
      <c r="H30" s="36"/>
      <c r="I30" s="5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ht="15.75" customHeight="1">
      <c r="A31" s="62">
        <v>5.0</v>
      </c>
      <c r="B31" s="60" t="s">
        <v>62</v>
      </c>
      <c r="C31" s="63">
        <v>35000.0</v>
      </c>
      <c r="D31" s="63">
        <v>5000.0</v>
      </c>
      <c r="E31" s="63">
        <v>2500.0</v>
      </c>
      <c r="F31" s="63">
        <v>2500.0</v>
      </c>
      <c r="G31" s="63">
        <v>5000.0</v>
      </c>
      <c r="H31" s="36"/>
      <c r="I31" s="5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ht="15.75" customHeight="1">
      <c r="A32" s="62">
        <v>6.0</v>
      </c>
      <c r="B32" s="60" t="s">
        <v>63</v>
      </c>
      <c r="C32" s="63">
        <v>35000.0</v>
      </c>
      <c r="D32" s="63">
        <v>5000.0</v>
      </c>
      <c r="E32" s="63">
        <v>2500.0</v>
      </c>
      <c r="F32" s="63">
        <v>2500.0</v>
      </c>
      <c r="G32" s="63">
        <v>5000.0</v>
      </c>
      <c r="H32" s="36"/>
      <c r="I32" s="5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ht="15.75" customHeight="1">
      <c r="A33" s="62">
        <v>7.0</v>
      </c>
      <c r="B33" s="60" t="s">
        <v>64</v>
      </c>
      <c r="C33" s="63">
        <v>35000.0</v>
      </c>
      <c r="D33" s="63">
        <v>5000.0</v>
      </c>
      <c r="E33" s="63">
        <v>2500.0</v>
      </c>
      <c r="F33" s="63">
        <v>2500.0</v>
      </c>
      <c r="G33" s="63">
        <v>5000.0</v>
      </c>
      <c r="H33" s="36"/>
      <c r="I33" s="5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ht="15.75" customHeight="1">
      <c r="A34" s="62">
        <v>8.0</v>
      </c>
      <c r="B34" s="60" t="s">
        <v>65</v>
      </c>
      <c r="C34" s="63">
        <v>35000.0</v>
      </c>
      <c r="D34" s="63">
        <v>5000.0</v>
      </c>
      <c r="E34" s="63">
        <v>2500.0</v>
      </c>
      <c r="F34" s="63">
        <v>2500.0</v>
      </c>
      <c r="G34" s="63">
        <v>5000.0</v>
      </c>
      <c r="H34" s="36"/>
      <c r="I34" s="5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ht="15.75" customHeight="1">
      <c r="A35" s="62">
        <v>9.0</v>
      </c>
      <c r="B35" s="60" t="s">
        <v>66</v>
      </c>
      <c r="C35" s="63">
        <v>35000.0</v>
      </c>
      <c r="D35" s="63">
        <v>5000.0</v>
      </c>
      <c r="E35" s="63">
        <v>2500.0</v>
      </c>
      <c r="F35" s="63">
        <v>2500.0</v>
      </c>
      <c r="G35" s="63">
        <v>5000.0</v>
      </c>
      <c r="H35" s="36"/>
      <c r="I35" s="5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ht="15.75" customHeight="1">
      <c r="A36" s="62">
        <v>10.0</v>
      </c>
      <c r="B36" s="60" t="s">
        <v>67</v>
      </c>
      <c r="C36" s="63">
        <v>35000.0</v>
      </c>
      <c r="D36" s="63">
        <v>5000.0</v>
      </c>
      <c r="E36" s="63">
        <v>2500.0</v>
      </c>
      <c r="F36" s="63">
        <v>2500.0</v>
      </c>
      <c r="G36" s="63">
        <v>5000.0</v>
      </c>
      <c r="H36" s="36"/>
      <c r="I36" s="5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ht="15.75" customHeight="1">
      <c r="A37" s="62">
        <v>11.0</v>
      </c>
      <c r="B37" s="60" t="s">
        <v>68</v>
      </c>
      <c r="C37" s="63">
        <v>35000.0</v>
      </c>
      <c r="D37" s="63">
        <v>5000.0</v>
      </c>
      <c r="E37" s="63">
        <v>2500.0</v>
      </c>
      <c r="F37" s="63">
        <v>2500.0</v>
      </c>
      <c r="G37" s="63">
        <v>5000.0</v>
      </c>
      <c r="H37" s="36"/>
      <c r="I37" s="5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ht="15.75" customHeight="1">
      <c r="A38" s="62">
        <v>12.0</v>
      </c>
      <c r="B38" s="60" t="s">
        <v>69</v>
      </c>
      <c r="C38" s="63">
        <v>35000.0</v>
      </c>
      <c r="D38" s="63">
        <v>5000.0</v>
      </c>
      <c r="E38" s="63">
        <v>2500.0</v>
      </c>
      <c r="F38" s="63">
        <v>2500.0</v>
      </c>
      <c r="G38" s="63">
        <v>5000.0</v>
      </c>
      <c r="H38" s="36"/>
      <c r="I38" s="5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ht="15.75" customHeight="1">
      <c r="A39" s="62">
        <v>13.0</v>
      </c>
      <c r="B39" s="60" t="s">
        <v>70</v>
      </c>
      <c r="C39" s="63">
        <v>35000.0</v>
      </c>
      <c r="D39" s="63">
        <v>5000.0</v>
      </c>
      <c r="E39" s="63">
        <v>2500.0</v>
      </c>
      <c r="F39" s="63">
        <v>2500.0</v>
      </c>
      <c r="G39" s="63">
        <v>5000.0</v>
      </c>
      <c r="H39" s="36"/>
      <c r="I39" s="5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ht="15.75" customHeight="1">
      <c r="A40" s="62">
        <v>14.0</v>
      </c>
      <c r="B40" s="60" t="s">
        <v>71</v>
      </c>
      <c r="C40" s="63">
        <v>35000.0</v>
      </c>
      <c r="D40" s="63">
        <v>5000.0</v>
      </c>
      <c r="E40" s="63">
        <v>2500.0</v>
      </c>
      <c r="F40" s="63">
        <v>2500.0</v>
      </c>
      <c r="G40" s="63">
        <v>5000.0</v>
      </c>
      <c r="H40" s="36"/>
      <c r="I40" s="5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ht="15.75" customHeight="1">
      <c r="A41" s="62">
        <v>15.0</v>
      </c>
      <c r="B41" s="60" t="s">
        <v>72</v>
      </c>
      <c r="C41" s="63"/>
      <c r="D41" s="63"/>
      <c r="E41" s="63"/>
      <c r="F41" s="63"/>
      <c r="G41" s="63"/>
      <c r="H41" s="36"/>
      <c r="I41" s="5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ht="15.75" customHeight="1">
      <c r="A42" s="62">
        <v>16.0</v>
      </c>
      <c r="B42" s="60" t="s">
        <v>73</v>
      </c>
      <c r="C42" s="36"/>
      <c r="D42" s="36"/>
      <c r="E42" s="36"/>
      <c r="F42" s="36"/>
      <c r="G42" s="36"/>
      <c r="H42" s="36"/>
      <c r="I42" s="5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ht="15.75" customHeight="1">
      <c r="A43" s="3"/>
      <c r="B43" s="3"/>
      <c r="C43" s="61"/>
      <c r="D43" s="61"/>
      <c r="E43" s="61"/>
      <c r="F43" s="61"/>
      <c r="G43" s="61"/>
      <c r="H43" s="36"/>
      <c r="I43" s="5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ht="15.75" customHeight="1">
      <c r="A44" s="3"/>
      <c r="B44" s="3"/>
      <c r="C44" s="61"/>
      <c r="D44" s="61"/>
      <c r="E44" s="61"/>
      <c r="F44" s="61"/>
      <c r="G44" s="61"/>
      <c r="H44" s="36"/>
      <c r="I44" s="5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ht="15.75" customHeight="1">
      <c r="A45" s="3"/>
      <c r="B45" s="3"/>
      <c r="C45" s="61"/>
      <c r="D45" s="61"/>
      <c r="E45" s="61"/>
      <c r="F45" s="61"/>
      <c r="G45" s="61"/>
      <c r="H45" s="36"/>
      <c r="I45" s="5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ht="15.75" customHeight="1">
      <c r="A46" s="3"/>
      <c r="B46" s="60" t="s">
        <v>74</v>
      </c>
      <c r="C46" s="61"/>
      <c r="D46" s="61"/>
      <c r="E46" s="61"/>
      <c r="F46" s="61"/>
      <c r="G46" s="61"/>
      <c r="H46" s="36"/>
      <c r="I46" s="5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ht="15.75" customHeight="1">
      <c r="A47" s="62">
        <v>1.0</v>
      </c>
      <c r="B47" s="60" t="s">
        <v>75</v>
      </c>
      <c r="C47" s="55">
        <v>35000.0</v>
      </c>
      <c r="D47" s="55">
        <v>5000.0</v>
      </c>
      <c r="E47" s="55">
        <v>2500.0</v>
      </c>
      <c r="F47" s="55">
        <v>2500.0</v>
      </c>
      <c r="G47" s="55">
        <v>5000.0</v>
      </c>
      <c r="H47" s="36"/>
      <c r="I47" s="5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ht="15.75" customHeight="1">
      <c r="A48" s="62">
        <v>2.0</v>
      </c>
      <c r="B48" s="60" t="s">
        <v>76</v>
      </c>
      <c r="C48" s="55">
        <v>35000.0</v>
      </c>
      <c r="D48" s="55">
        <v>5000.0</v>
      </c>
      <c r="E48" s="55">
        <v>2500.0</v>
      </c>
      <c r="F48" s="55">
        <v>2500.0</v>
      </c>
      <c r="G48" s="55">
        <v>5000.0</v>
      </c>
      <c r="H48" s="36"/>
      <c r="I48" s="5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ht="15.75" customHeight="1">
      <c r="A49" s="62">
        <v>3.0</v>
      </c>
      <c r="B49" s="60" t="s">
        <v>77</v>
      </c>
      <c r="C49" s="55">
        <v>35000.0</v>
      </c>
      <c r="D49" s="55">
        <v>5000.0</v>
      </c>
      <c r="E49" s="55">
        <v>2500.0</v>
      </c>
      <c r="F49" s="55">
        <v>2500.0</v>
      </c>
      <c r="G49" s="55">
        <v>5000.0</v>
      </c>
      <c r="H49" s="36"/>
      <c r="I49" s="5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ht="15.75" customHeight="1">
      <c r="A50" s="62">
        <v>4.0</v>
      </c>
      <c r="B50" s="60" t="s">
        <v>78</v>
      </c>
      <c r="C50" s="55">
        <v>35000.0</v>
      </c>
      <c r="D50" s="55">
        <v>5000.0</v>
      </c>
      <c r="E50" s="55">
        <v>2500.0</v>
      </c>
      <c r="F50" s="55">
        <v>2500.0</v>
      </c>
      <c r="G50" s="55">
        <v>5000.0</v>
      </c>
      <c r="H50" s="36"/>
      <c r="I50" s="5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ht="15.75" customHeight="1">
      <c r="A51" s="62">
        <v>5.0</v>
      </c>
      <c r="B51" s="60" t="s">
        <v>79</v>
      </c>
      <c r="C51" s="55">
        <v>35000.0</v>
      </c>
      <c r="D51" s="55">
        <v>5000.0</v>
      </c>
      <c r="E51" s="55">
        <v>2500.0</v>
      </c>
      <c r="F51" s="55">
        <v>2500.0</v>
      </c>
      <c r="G51" s="55">
        <v>5000.0</v>
      </c>
      <c r="H51" s="36"/>
      <c r="I51" s="5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ht="15.75" customHeight="1">
      <c r="A52" s="64">
        <v>6.0</v>
      </c>
      <c r="B52" s="60" t="s">
        <v>80</v>
      </c>
      <c r="C52" s="55">
        <v>35000.0</v>
      </c>
      <c r="D52" s="55">
        <v>5000.0</v>
      </c>
      <c r="E52" s="55">
        <v>2500.0</v>
      </c>
      <c r="F52" s="55">
        <v>2500.0</v>
      </c>
      <c r="G52" s="55">
        <v>5000.0</v>
      </c>
      <c r="H52" s="36"/>
      <c r="I52" s="5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ht="15.75" customHeight="1">
      <c r="A53" s="64">
        <v>7.0</v>
      </c>
      <c r="B53" s="60" t="s">
        <v>81</v>
      </c>
      <c r="C53" s="55">
        <v>35000.0</v>
      </c>
      <c r="D53" s="55">
        <v>5000.0</v>
      </c>
      <c r="E53" s="55">
        <v>2500.0</v>
      </c>
      <c r="F53" s="55">
        <v>2500.0</v>
      </c>
      <c r="G53" s="55">
        <v>5000.0</v>
      </c>
      <c r="H53" s="36"/>
      <c r="I53" s="5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ht="15.75" customHeight="1">
      <c r="A54" s="64">
        <v>8.0</v>
      </c>
      <c r="B54" s="60" t="s">
        <v>82</v>
      </c>
      <c r="C54" s="55">
        <v>35000.0</v>
      </c>
      <c r="D54" s="55">
        <v>5000.0</v>
      </c>
      <c r="E54" s="55">
        <v>2500.0</v>
      </c>
      <c r="F54" s="55">
        <v>2500.0</v>
      </c>
      <c r="G54" s="55">
        <v>5000.0</v>
      </c>
      <c r="H54" s="36"/>
      <c r="I54" s="5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ht="15.75" customHeight="1">
      <c r="A55" s="64">
        <v>9.0</v>
      </c>
      <c r="B55" s="60" t="s">
        <v>83</v>
      </c>
      <c r="C55" s="55">
        <v>35000.0</v>
      </c>
      <c r="D55" s="55">
        <v>5000.0</v>
      </c>
      <c r="E55" s="55">
        <v>2500.0</v>
      </c>
      <c r="F55" s="55">
        <v>2500.0</v>
      </c>
      <c r="G55" s="55">
        <v>5000.0</v>
      </c>
      <c r="H55" s="36"/>
      <c r="I55" s="5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ht="15.75" customHeight="1">
      <c r="A56" s="64">
        <v>10.0</v>
      </c>
      <c r="B56" s="60" t="s">
        <v>84</v>
      </c>
      <c r="C56" s="55">
        <v>35000.0</v>
      </c>
      <c r="D56" s="55">
        <v>5000.0</v>
      </c>
      <c r="E56" s="55">
        <v>2500.0</v>
      </c>
      <c r="F56" s="55">
        <v>2500.0</v>
      </c>
      <c r="G56" s="55">
        <v>5000.0</v>
      </c>
      <c r="H56" s="36"/>
      <c r="I56" s="5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ht="15.75" customHeight="1">
      <c r="A57" s="64">
        <v>11.0</v>
      </c>
      <c r="B57" s="60" t="s">
        <v>85</v>
      </c>
      <c r="C57" s="55">
        <v>35000.0</v>
      </c>
      <c r="D57" s="55">
        <v>5000.0</v>
      </c>
      <c r="E57" s="55">
        <v>2500.0</v>
      </c>
      <c r="F57" s="55">
        <v>2500.0</v>
      </c>
      <c r="G57" s="55">
        <v>5000.0</v>
      </c>
      <c r="H57" s="36"/>
      <c r="I57" s="5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ht="15.75" customHeight="1">
      <c r="A58" s="64">
        <v>12.0</v>
      </c>
      <c r="B58" s="60" t="s">
        <v>86</v>
      </c>
      <c r="C58" s="55">
        <v>35000.0</v>
      </c>
      <c r="D58" s="55">
        <v>5000.0</v>
      </c>
      <c r="E58" s="55">
        <v>2500.0</v>
      </c>
      <c r="F58" s="55">
        <v>2500.0</v>
      </c>
      <c r="G58" s="55">
        <v>5000.0</v>
      </c>
      <c r="H58" s="36"/>
      <c r="I58" s="5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ht="15.75" customHeight="1">
      <c r="A59" s="65">
        <v>13.0</v>
      </c>
      <c r="C59" s="63"/>
      <c r="D59" s="63"/>
      <c r="E59" s="63"/>
      <c r="F59" s="63"/>
      <c r="G59" s="63"/>
      <c r="H59" s="36"/>
      <c r="I59" s="5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ht="15.75" customHeight="1">
      <c r="A60" s="50"/>
      <c r="B60" s="50"/>
      <c r="C60" s="63"/>
      <c r="D60" s="63"/>
      <c r="E60" s="63"/>
      <c r="F60" s="63"/>
      <c r="G60" s="63"/>
      <c r="H60" s="36"/>
      <c r="I60" s="5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ht="15.75" customHeight="1">
      <c r="A61" s="3"/>
      <c r="B61" s="3"/>
      <c r="C61" s="63"/>
      <c r="D61" s="63"/>
      <c r="E61" s="63"/>
      <c r="F61" s="63"/>
      <c r="G61" s="63"/>
      <c r="H61" s="36"/>
      <c r="I61" s="5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ht="15.75" customHeight="1">
      <c r="A62" s="3"/>
      <c r="B62" s="3"/>
      <c r="C62" s="36"/>
      <c r="D62" s="36"/>
      <c r="E62" s="36"/>
      <c r="F62" s="36"/>
      <c r="G62" s="36"/>
      <c r="H62" s="36"/>
      <c r="I62" s="5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ht="15.75" customHeight="1">
      <c r="A63" s="3"/>
      <c r="B63" s="3"/>
      <c r="C63" s="36"/>
      <c r="D63" s="36"/>
      <c r="E63" s="36"/>
      <c r="F63" s="36"/>
      <c r="G63" s="36"/>
      <c r="H63" s="36"/>
      <c r="I63" s="36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ht="15.75" customHeight="1">
      <c r="A64" s="3"/>
      <c r="B64" s="3" t="s">
        <v>87</v>
      </c>
      <c r="C64" s="36"/>
      <c r="D64" s="36"/>
      <c r="E64" s="36"/>
      <c r="F64" s="36"/>
      <c r="G64" s="36"/>
      <c r="H64" s="36"/>
      <c r="I64" s="5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ht="15.75" customHeight="1">
      <c r="A65" s="50">
        <v>1.0</v>
      </c>
      <c r="B65" s="50" t="s">
        <v>88</v>
      </c>
      <c r="C65" s="55">
        <v>420000.0</v>
      </c>
      <c r="D65" s="55">
        <v>60000.0</v>
      </c>
      <c r="E65" s="55">
        <v>30000.0</v>
      </c>
      <c r="F65" s="55">
        <v>30000.0</v>
      </c>
      <c r="G65" s="55">
        <v>120000.0</v>
      </c>
      <c r="H65" s="66">
        <f t="shared" ref="H65:H66" si="2">SUM(C65:G65)</f>
        <v>660000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ht="15.75" customHeight="1">
      <c r="A66" s="50">
        <v>2.0</v>
      </c>
      <c r="B66" s="50" t="s">
        <v>89</v>
      </c>
      <c r="C66" s="59">
        <v>420000.0</v>
      </c>
      <c r="D66" s="59">
        <v>60000.0</v>
      </c>
      <c r="E66" s="59">
        <v>30000.0</v>
      </c>
      <c r="F66" s="59">
        <v>30000.0</v>
      </c>
      <c r="G66" s="59">
        <v>115000.0</v>
      </c>
      <c r="H66" s="66">
        <f t="shared" si="2"/>
        <v>655000</v>
      </c>
      <c r="I66" s="56">
        <f>SUM(C66:F66)</f>
        <v>540000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ht="15.75" customHeight="1">
      <c r="A67" s="50"/>
      <c r="B67" s="50"/>
      <c r="C67" s="59"/>
      <c r="D67" s="59"/>
      <c r="E67" s="59"/>
      <c r="F67" s="59"/>
      <c r="G67" s="59"/>
      <c r="H67" s="35"/>
      <c r="I67" s="56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ht="15.75" customHeight="1">
      <c r="A68" s="50"/>
      <c r="B68" s="50"/>
      <c r="C68" s="59"/>
      <c r="D68" s="59"/>
      <c r="E68" s="59"/>
      <c r="F68" s="59"/>
      <c r="G68" s="59"/>
      <c r="H68" s="66"/>
      <c r="I68" s="56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ht="15.75" customHeight="1">
      <c r="A69" s="50"/>
      <c r="B69" s="50"/>
      <c r="C69" s="59"/>
      <c r="D69" s="59"/>
      <c r="E69" s="59"/>
      <c r="F69" s="59"/>
      <c r="G69" s="59"/>
      <c r="H69" s="67"/>
      <c r="I69" s="56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ht="15.75" customHeight="1">
      <c r="A70" s="50"/>
      <c r="B70" s="50"/>
      <c r="C70" s="59"/>
      <c r="D70" s="59"/>
      <c r="E70" s="59"/>
      <c r="F70" s="59"/>
      <c r="G70" s="59"/>
      <c r="H70" s="67"/>
      <c r="I70" s="56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ht="15.75" customHeight="1">
      <c r="A71" s="3"/>
      <c r="B71" s="3"/>
      <c r="C71" s="66"/>
      <c r="D71" s="66"/>
      <c r="E71" s="66"/>
      <c r="F71" s="66"/>
      <c r="G71" s="66"/>
      <c r="H71" s="66"/>
      <c r="I71" s="68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ht="15.75" customHeight="1">
      <c r="A72" s="3"/>
      <c r="B72" s="3"/>
      <c r="C72" s="66"/>
      <c r="D72" s="66"/>
      <c r="E72" s="66"/>
      <c r="F72" s="66"/>
      <c r="G72" s="66"/>
      <c r="H72" s="66"/>
      <c r="I72" s="68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ht="15.75" customHeight="1">
      <c r="A73" s="3"/>
      <c r="B73" s="3"/>
      <c r="C73" s="66"/>
      <c r="D73" s="66"/>
      <c r="E73" s="66"/>
      <c r="F73" s="66"/>
      <c r="G73" s="66"/>
      <c r="H73" s="66"/>
      <c r="I73" s="68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ht="15.75" customHeight="1">
      <c r="A74" s="3"/>
      <c r="B74" s="3"/>
      <c r="C74" s="66"/>
      <c r="D74" s="66"/>
      <c r="E74" s="66"/>
      <c r="F74" s="66"/>
      <c r="G74" s="66"/>
      <c r="H74" s="66"/>
      <c r="I74" s="68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ht="15.75" customHeight="1">
      <c r="A75" s="3"/>
      <c r="B75" s="3"/>
      <c r="C75" s="66"/>
      <c r="D75" s="66"/>
      <c r="E75" s="66"/>
      <c r="F75" s="66"/>
      <c r="G75" s="66"/>
      <c r="H75" s="66"/>
      <c r="I75" s="68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ht="15.75" customHeight="1">
      <c r="A76" s="69">
        <v>3.0</v>
      </c>
      <c r="B76" s="3" t="s">
        <v>90</v>
      </c>
      <c r="C76" s="66">
        <f t="shared" ref="C76:G76" si="3">SUM(C3:C24)</f>
        <v>560000</v>
      </c>
      <c r="D76" s="66">
        <f t="shared" si="3"/>
        <v>80000</v>
      </c>
      <c r="E76" s="66">
        <f t="shared" si="3"/>
        <v>37500</v>
      </c>
      <c r="F76" s="66">
        <f t="shared" si="3"/>
        <v>37500</v>
      </c>
      <c r="G76" s="66">
        <f t="shared" si="3"/>
        <v>75000</v>
      </c>
      <c r="H76" s="66">
        <f t="shared" ref="H76:H80" si="5">SUM(C76:G76)</f>
        <v>790000</v>
      </c>
      <c r="I76" s="56">
        <f>SUM(C76:F76)</f>
        <v>715000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ht="15.75" customHeight="1">
      <c r="A77" s="69">
        <v>4.0</v>
      </c>
      <c r="B77" s="3" t="s">
        <v>91</v>
      </c>
      <c r="C77" s="70">
        <f t="shared" ref="C77:G77" si="4">SuM(C27:C44)</f>
        <v>490000</v>
      </c>
      <c r="D77" s="70">
        <f t="shared" si="4"/>
        <v>70000</v>
      </c>
      <c r="E77" s="70">
        <f t="shared" si="4"/>
        <v>35000</v>
      </c>
      <c r="F77" s="70">
        <f t="shared" si="4"/>
        <v>35000</v>
      </c>
      <c r="G77" s="70">
        <f t="shared" si="4"/>
        <v>70000</v>
      </c>
      <c r="H77" s="35">
        <f t="shared" si="5"/>
        <v>700000</v>
      </c>
      <c r="I77" s="68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ht="15.75" customHeight="1">
      <c r="A78" s="69">
        <v>5.0</v>
      </c>
      <c r="B78" s="3" t="s">
        <v>92</v>
      </c>
      <c r="C78" s="66">
        <f t="shared" ref="C78:G78" si="6">SUM(C47:C62)</f>
        <v>420000</v>
      </c>
      <c r="D78" s="66">
        <f t="shared" si="6"/>
        <v>60000</v>
      </c>
      <c r="E78" s="66">
        <f t="shared" si="6"/>
        <v>30000</v>
      </c>
      <c r="F78" s="66">
        <f t="shared" si="6"/>
        <v>30000</v>
      </c>
      <c r="G78" s="66">
        <f t="shared" si="6"/>
        <v>60000</v>
      </c>
      <c r="H78" s="66">
        <f t="shared" si="5"/>
        <v>600000</v>
      </c>
      <c r="I78" s="56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ht="15.75" customHeight="1">
      <c r="A79" s="69">
        <v>6.0</v>
      </c>
      <c r="B79" s="3" t="s">
        <v>93</v>
      </c>
      <c r="C79" s="59">
        <v>5914500.0</v>
      </c>
      <c r="D79" s="71">
        <v>1537000.0</v>
      </c>
      <c r="E79" s="71">
        <v>3141000.0</v>
      </c>
      <c r="F79" s="71">
        <v>1010000.0</v>
      </c>
      <c r="G79" s="71">
        <v>1763500.0</v>
      </c>
      <c r="H79" s="35">
        <f t="shared" si="5"/>
        <v>13366000</v>
      </c>
      <c r="I79" s="68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ht="15.75" customHeight="1">
      <c r="A80" s="3"/>
      <c r="B80" s="72" t="s">
        <v>94</v>
      </c>
      <c r="C80" s="35">
        <f t="shared" ref="C80:G80" si="7">SUM(C66:C79)</f>
        <v>7804500</v>
      </c>
      <c r="D80" s="35">
        <f t="shared" si="7"/>
        <v>1807000</v>
      </c>
      <c r="E80" s="35">
        <f t="shared" si="7"/>
        <v>3273500</v>
      </c>
      <c r="F80" s="35">
        <f t="shared" si="7"/>
        <v>1142500</v>
      </c>
      <c r="G80" s="35">
        <f t="shared" si="7"/>
        <v>2083500</v>
      </c>
      <c r="H80" s="35">
        <f t="shared" si="5"/>
        <v>16111000</v>
      </c>
      <c r="I80" s="68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51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51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51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51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51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ht="15.75" customHeight="1">
      <c r="A86" s="3"/>
      <c r="B86" s="3"/>
      <c r="C86" s="23"/>
      <c r="D86" s="3"/>
      <c r="E86" s="3"/>
      <c r="F86" s="3"/>
      <c r="G86" s="3"/>
      <c r="H86" s="3"/>
      <c r="I86" s="51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51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51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51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51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51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51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51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51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51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51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51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51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51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51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51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51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51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51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51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51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51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51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51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51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51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51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51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51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51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51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51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51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51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51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51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51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51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51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51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51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51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51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51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51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51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51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51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51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51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51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51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51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51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51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51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51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51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51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51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51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51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51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51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51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51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51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51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51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51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51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51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51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51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51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51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51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51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51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51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51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51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51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51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51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51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51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51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51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51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51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51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51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51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51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51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51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51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51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51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51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51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51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51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51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51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51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51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51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51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51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51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51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51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51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51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51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51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51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51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51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51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51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51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51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51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51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51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51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51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51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51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51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51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51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51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51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51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51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51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51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51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51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51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51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51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51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51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51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51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51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51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51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51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51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51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51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51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51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51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51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51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51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51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51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51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51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51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51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51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51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51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51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51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51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51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51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51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51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51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51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51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51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51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51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51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51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51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51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51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51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51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51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51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51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88"/>
    <col customWidth="1" min="2" max="2" width="24.75"/>
    <col customWidth="1" min="3" max="6" width="12.63"/>
  </cols>
  <sheetData>
    <row r="1" ht="15.75" customHeight="1">
      <c r="A1" s="3"/>
      <c r="B1" s="3" t="s">
        <v>30</v>
      </c>
      <c r="C1" s="50" t="s">
        <v>31</v>
      </c>
      <c r="D1" s="3" t="s">
        <v>32</v>
      </c>
      <c r="E1" s="3" t="s">
        <v>33</v>
      </c>
      <c r="F1" s="3" t="s">
        <v>34</v>
      </c>
      <c r="G1" s="50" t="s">
        <v>95</v>
      </c>
      <c r="H1" s="3"/>
      <c r="I1" s="51" t="s">
        <v>36</v>
      </c>
      <c r="J1" s="3"/>
      <c r="K1" s="3"/>
      <c r="L1" s="3"/>
      <c r="M1" s="3"/>
      <c r="N1" s="3"/>
      <c r="O1" s="5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15.75" customHeight="1">
      <c r="A2" s="3"/>
      <c r="B2" s="3" t="s">
        <v>37</v>
      </c>
      <c r="C2" s="36"/>
      <c r="D2" s="36"/>
      <c r="E2" s="36"/>
      <c r="F2" s="36"/>
      <c r="G2" s="36"/>
      <c r="H2" s="36"/>
      <c r="I2" s="5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15.75" customHeight="1">
      <c r="A3" s="54">
        <v>1.0</v>
      </c>
      <c r="B3" s="3" t="s">
        <v>38</v>
      </c>
      <c r="C3" s="55">
        <v>35000.0</v>
      </c>
      <c r="D3" s="55">
        <v>5000.0</v>
      </c>
      <c r="E3" s="55">
        <v>2500.0</v>
      </c>
      <c r="F3" s="55">
        <v>2500.0</v>
      </c>
      <c r="G3" s="55">
        <v>10000.0</v>
      </c>
      <c r="H3" s="36"/>
      <c r="I3" s="56">
        <f t="shared" ref="I3:I21" si="1">SUM(C3:F3)</f>
        <v>45000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15.75" customHeight="1">
      <c r="A4" s="54">
        <v>2.0</v>
      </c>
      <c r="B4" s="3" t="s">
        <v>39</v>
      </c>
      <c r="C4" s="55">
        <v>35000.0</v>
      </c>
      <c r="D4" s="55">
        <v>5000.0</v>
      </c>
      <c r="E4" s="55">
        <v>2500.0</v>
      </c>
      <c r="F4" s="55">
        <v>2500.0</v>
      </c>
      <c r="G4" s="55">
        <v>10000.0</v>
      </c>
      <c r="H4" s="36"/>
      <c r="I4" s="56">
        <f t="shared" si="1"/>
        <v>45000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ht="15.75" customHeight="1">
      <c r="A5" s="54">
        <v>3.0</v>
      </c>
      <c r="B5" s="3" t="s">
        <v>40</v>
      </c>
      <c r="C5" s="55">
        <v>35000.0</v>
      </c>
      <c r="D5" s="55">
        <v>5000.0</v>
      </c>
      <c r="E5" s="55">
        <v>2500.0</v>
      </c>
      <c r="F5" s="55">
        <v>2500.0</v>
      </c>
      <c r="G5" s="55">
        <v>10000.0</v>
      </c>
      <c r="H5" s="36"/>
      <c r="I5" s="56">
        <f t="shared" si="1"/>
        <v>45000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15.75" customHeight="1">
      <c r="A6" s="54">
        <v>4.0</v>
      </c>
      <c r="B6" s="3" t="s">
        <v>41</v>
      </c>
      <c r="C6" s="55">
        <v>35000.0</v>
      </c>
      <c r="D6" s="55">
        <v>5000.0</v>
      </c>
      <c r="E6" s="55">
        <v>2500.0</v>
      </c>
      <c r="F6" s="55">
        <v>2500.0</v>
      </c>
      <c r="G6" s="55">
        <v>10000.0</v>
      </c>
      <c r="H6" s="36"/>
      <c r="I6" s="56">
        <f t="shared" si="1"/>
        <v>45000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ht="15.75" customHeight="1">
      <c r="A7" s="54">
        <v>5.0</v>
      </c>
      <c r="B7" s="3" t="s">
        <v>42</v>
      </c>
      <c r="C7" s="55">
        <v>35000.0</v>
      </c>
      <c r="D7" s="55">
        <v>5000.0</v>
      </c>
      <c r="E7" s="55">
        <v>2500.0</v>
      </c>
      <c r="F7" s="55">
        <v>2500.0</v>
      </c>
      <c r="G7" s="55">
        <v>10000.0</v>
      </c>
      <c r="H7" s="36"/>
      <c r="I7" s="56">
        <f t="shared" si="1"/>
        <v>45000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ht="15.75" customHeight="1">
      <c r="A8" s="54">
        <v>6.0</v>
      </c>
      <c r="B8" s="3" t="s">
        <v>43</v>
      </c>
      <c r="C8" s="55">
        <v>70000.0</v>
      </c>
      <c r="D8" s="55">
        <v>10000.0</v>
      </c>
      <c r="E8" s="55">
        <v>2500.0</v>
      </c>
      <c r="F8" s="55">
        <v>2500.0</v>
      </c>
      <c r="G8" s="55">
        <v>10000.0</v>
      </c>
      <c r="H8" s="36"/>
      <c r="I8" s="56">
        <f t="shared" si="1"/>
        <v>85000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15.75" customHeight="1">
      <c r="A9" s="54">
        <v>7.0</v>
      </c>
      <c r="B9" s="3" t="s">
        <v>44</v>
      </c>
      <c r="C9" s="55">
        <v>35000.0</v>
      </c>
      <c r="D9" s="55">
        <v>5000.0</v>
      </c>
      <c r="E9" s="55">
        <v>2500.0</v>
      </c>
      <c r="F9" s="55">
        <v>2500.0</v>
      </c>
      <c r="G9" s="55">
        <v>10000.0</v>
      </c>
      <c r="H9" s="36"/>
      <c r="I9" s="56">
        <f t="shared" si="1"/>
        <v>45000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57"/>
      <c r="Z9" s="3"/>
      <c r="AA9" s="3"/>
      <c r="AB9" s="3"/>
      <c r="AC9" s="3"/>
    </row>
    <row r="10" ht="15.75" customHeight="1">
      <c r="A10" s="54">
        <v>8.0</v>
      </c>
      <c r="B10" s="3" t="s">
        <v>45</v>
      </c>
      <c r="C10" s="55">
        <v>35000.0</v>
      </c>
      <c r="D10" s="55">
        <v>5000.0</v>
      </c>
      <c r="E10" s="55">
        <v>2500.0</v>
      </c>
      <c r="F10" s="55">
        <v>2500.0</v>
      </c>
      <c r="G10" s="55">
        <v>10000.0</v>
      </c>
      <c r="H10" s="36"/>
      <c r="I10" s="56">
        <f t="shared" si="1"/>
        <v>45000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15.75" customHeight="1">
      <c r="A11" s="54">
        <v>9.0</v>
      </c>
      <c r="B11" s="3" t="s">
        <v>46</v>
      </c>
      <c r="C11" s="55">
        <v>35000.0</v>
      </c>
      <c r="D11" s="55">
        <v>5000.0</v>
      </c>
      <c r="E11" s="55">
        <v>2500.0</v>
      </c>
      <c r="F11" s="55">
        <v>2500.0</v>
      </c>
      <c r="G11" s="55">
        <v>10000.0</v>
      </c>
      <c r="H11" s="36"/>
      <c r="I11" s="56">
        <f t="shared" si="1"/>
        <v>45000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15.75" customHeight="1">
      <c r="A12" s="54">
        <v>10.0</v>
      </c>
      <c r="B12" s="3" t="s">
        <v>47</v>
      </c>
      <c r="C12" s="55">
        <v>35000.0</v>
      </c>
      <c r="D12" s="55">
        <v>5000.0</v>
      </c>
      <c r="E12" s="55">
        <v>2500.0</v>
      </c>
      <c r="F12" s="55">
        <v>2500.0</v>
      </c>
      <c r="G12" s="55">
        <v>10000.0</v>
      </c>
      <c r="H12" s="36"/>
      <c r="I12" s="56">
        <f t="shared" si="1"/>
        <v>45000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ht="15.75" customHeight="1">
      <c r="A13" s="54">
        <v>11.0</v>
      </c>
      <c r="B13" s="3" t="s">
        <v>48</v>
      </c>
      <c r="C13" s="55">
        <v>35000.0</v>
      </c>
      <c r="D13" s="55">
        <v>5000.0</v>
      </c>
      <c r="E13" s="55">
        <v>2500.0</v>
      </c>
      <c r="F13" s="55">
        <v>2500.0</v>
      </c>
      <c r="G13" s="55">
        <v>10000.0</v>
      </c>
      <c r="H13" s="36"/>
      <c r="I13" s="56">
        <f t="shared" si="1"/>
        <v>45000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15.75" customHeight="1">
      <c r="A14" s="54">
        <v>12.0</v>
      </c>
      <c r="B14" s="3" t="s">
        <v>49</v>
      </c>
      <c r="C14" s="58">
        <v>0.0</v>
      </c>
      <c r="D14" s="59">
        <v>0.0</v>
      </c>
      <c r="E14" s="59">
        <v>0.0</v>
      </c>
      <c r="F14" s="59">
        <v>0.0</v>
      </c>
      <c r="G14" s="59">
        <v>0.0</v>
      </c>
      <c r="H14" s="36"/>
      <c r="I14" s="56">
        <f t="shared" si="1"/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15.75" customHeight="1">
      <c r="A15" s="54">
        <v>13.0</v>
      </c>
      <c r="B15" s="3" t="s">
        <v>50</v>
      </c>
      <c r="C15" s="55">
        <v>35000.0</v>
      </c>
      <c r="D15" s="55">
        <v>5000.0</v>
      </c>
      <c r="E15" s="55">
        <v>2500.0</v>
      </c>
      <c r="F15" s="55">
        <v>2500.0</v>
      </c>
      <c r="G15" s="55">
        <v>10000.0</v>
      </c>
      <c r="H15" s="36"/>
      <c r="I15" s="56">
        <f t="shared" si="1"/>
        <v>45000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15.75" customHeight="1">
      <c r="A16" s="54">
        <v>14.0</v>
      </c>
      <c r="B16" s="3" t="s">
        <v>51</v>
      </c>
      <c r="C16" s="55">
        <v>35000.0</v>
      </c>
      <c r="D16" s="55">
        <v>5000.0</v>
      </c>
      <c r="E16" s="55">
        <v>2500.0</v>
      </c>
      <c r="F16" s="55">
        <v>2500.0</v>
      </c>
      <c r="G16" s="55">
        <v>10000.0</v>
      </c>
      <c r="H16" s="36"/>
      <c r="I16" s="56">
        <f t="shared" si="1"/>
        <v>45000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ht="15.75" customHeight="1">
      <c r="A17" s="54">
        <v>15.0</v>
      </c>
      <c r="B17" s="3" t="s">
        <v>96</v>
      </c>
      <c r="C17" s="55">
        <v>0.0</v>
      </c>
      <c r="D17" s="55">
        <v>0.0</v>
      </c>
      <c r="E17" s="55">
        <v>0.0</v>
      </c>
      <c r="F17" s="55">
        <v>0.0</v>
      </c>
      <c r="G17" s="55">
        <v>0.0</v>
      </c>
      <c r="H17" s="36"/>
      <c r="I17" s="56">
        <f t="shared" si="1"/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ht="15.75" customHeight="1">
      <c r="A18" s="54">
        <v>16.0</v>
      </c>
      <c r="B18" s="3" t="s">
        <v>53</v>
      </c>
      <c r="C18" s="55">
        <v>0.0</v>
      </c>
      <c r="D18" s="55">
        <v>0.0</v>
      </c>
      <c r="E18" s="55">
        <v>0.0</v>
      </c>
      <c r="F18" s="55"/>
      <c r="G18" s="55">
        <v>0.0</v>
      </c>
      <c r="H18" s="36"/>
      <c r="I18" s="56">
        <f t="shared" si="1"/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ht="15.75" customHeight="1">
      <c r="A19" s="54">
        <v>17.0</v>
      </c>
      <c r="B19" s="3" t="s">
        <v>54</v>
      </c>
      <c r="C19" s="55">
        <v>35000.0</v>
      </c>
      <c r="D19" s="55">
        <v>5000.0</v>
      </c>
      <c r="E19" s="55">
        <v>2500.0</v>
      </c>
      <c r="F19" s="55">
        <v>2500.0</v>
      </c>
      <c r="G19" s="55">
        <v>10000.0</v>
      </c>
      <c r="H19" s="36"/>
      <c r="I19" s="56">
        <f t="shared" si="1"/>
        <v>45000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ht="15.75" customHeight="1">
      <c r="A20" s="54">
        <v>18.0</v>
      </c>
      <c r="B20" s="50" t="s">
        <v>97</v>
      </c>
      <c r="C20" s="59">
        <v>0.0</v>
      </c>
      <c r="D20" s="59">
        <v>0.0</v>
      </c>
      <c r="E20" s="59">
        <v>0.0</v>
      </c>
      <c r="F20" s="59">
        <v>0.0</v>
      </c>
      <c r="G20" s="59">
        <v>0.0</v>
      </c>
      <c r="H20" s="36"/>
      <c r="I20" s="56">
        <f t="shared" si="1"/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ht="15.75" customHeight="1">
      <c r="A21" s="54">
        <v>19.0</v>
      </c>
      <c r="B21" s="3" t="s">
        <v>56</v>
      </c>
      <c r="C21" s="55">
        <v>70000.0</v>
      </c>
      <c r="D21" s="55">
        <v>10000.0</v>
      </c>
      <c r="E21" s="55">
        <v>5000.0</v>
      </c>
      <c r="F21" s="55">
        <v>5000.0</v>
      </c>
      <c r="G21" s="55">
        <v>20000.0</v>
      </c>
      <c r="H21" s="36"/>
      <c r="I21" s="56">
        <f t="shared" si="1"/>
        <v>90000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ht="15.75" customHeight="1">
      <c r="A22" s="3"/>
      <c r="B22" s="3"/>
      <c r="C22" s="36"/>
      <c r="D22" s="36"/>
      <c r="E22" s="36"/>
      <c r="F22" s="36"/>
      <c r="G22" s="36"/>
      <c r="H22" s="36"/>
      <c r="I22" s="5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ht="15.75" customHeight="1">
      <c r="A23" s="3"/>
      <c r="B23" s="3"/>
      <c r="C23" s="36"/>
      <c r="D23" s="36"/>
      <c r="E23" s="36"/>
      <c r="F23" s="36"/>
      <c r="G23" s="36"/>
      <c r="H23" s="36"/>
      <c r="I23" s="5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ht="15.75" customHeight="1">
      <c r="A24" s="3"/>
      <c r="B24" s="3"/>
      <c r="C24" s="36"/>
      <c r="D24" s="36"/>
      <c r="E24" s="36"/>
      <c r="F24" s="36"/>
      <c r="G24" s="36"/>
      <c r="H24" s="36"/>
      <c r="I24" s="5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ht="15.75" customHeight="1">
      <c r="A25" s="3"/>
      <c r="B25" s="3"/>
      <c r="C25" s="36"/>
      <c r="D25" s="36"/>
      <c r="E25" s="36"/>
      <c r="F25" s="36"/>
      <c r="G25" s="36"/>
      <c r="H25" s="36"/>
      <c r="I25" s="5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ht="15.75" customHeight="1">
      <c r="A26" s="3"/>
      <c r="B26" s="3" t="s">
        <v>57</v>
      </c>
      <c r="C26" s="36"/>
      <c r="D26" s="36"/>
      <c r="E26" s="36"/>
      <c r="F26" s="36"/>
      <c r="G26" s="36"/>
      <c r="H26" s="36"/>
      <c r="I26" s="5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ht="15.75" customHeight="1">
      <c r="A27" s="54">
        <v>1.0</v>
      </c>
      <c r="B27" s="3" t="s">
        <v>58</v>
      </c>
      <c r="C27" s="63">
        <v>35000.0</v>
      </c>
      <c r="D27" s="63">
        <v>5000.0</v>
      </c>
      <c r="E27" s="63">
        <v>2500.0</v>
      </c>
      <c r="F27" s="63">
        <v>2500.0</v>
      </c>
      <c r="G27" s="55">
        <v>10000.0</v>
      </c>
      <c r="H27" s="36"/>
      <c r="I27" s="5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ht="15.75" customHeight="1">
      <c r="A28" s="54">
        <v>2.0</v>
      </c>
      <c r="B28" s="3" t="s">
        <v>59</v>
      </c>
      <c r="C28" s="63">
        <v>35000.0</v>
      </c>
      <c r="D28" s="63">
        <v>5000.0</v>
      </c>
      <c r="E28" s="63">
        <v>2500.0</v>
      </c>
      <c r="F28" s="63">
        <v>2500.0</v>
      </c>
      <c r="G28" s="55">
        <v>10000.0</v>
      </c>
      <c r="H28" s="36"/>
      <c r="I28" s="5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ht="15.75" customHeight="1">
      <c r="A29" s="54">
        <v>3.0</v>
      </c>
      <c r="B29" s="3" t="s">
        <v>60</v>
      </c>
      <c r="C29" s="63">
        <v>35000.0</v>
      </c>
      <c r="D29" s="63">
        <v>5000.0</v>
      </c>
      <c r="E29" s="63">
        <v>2500.0</v>
      </c>
      <c r="F29" s="63">
        <v>2500.0</v>
      </c>
      <c r="G29" s="55">
        <v>10000.0</v>
      </c>
      <c r="H29" s="36"/>
      <c r="I29" s="5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ht="15.75" customHeight="1">
      <c r="A30" s="54">
        <v>4.0</v>
      </c>
      <c r="B30" s="3" t="s">
        <v>61</v>
      </c>
      <c r="C30" s="63">
        <v>35000.0</v>
      </c>
      <c r="D30" s="63">
        <v>5000.0</v>
      </c>
      <c r="E30" s="63">
        <v>2500.0</v>
      </c>
      <c r="F30" s="63">
        <v>2500.0</v>
      </c>
      <c r="G30" s="55">
        <v>10000.0</v>
      </c>
      <c r="H30" s="36"/>
      <c r="I30" s="5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ht="15.75" customHeight="1">
      <c r="A31" s="54">
        <v>5.0</v>
      </c>
      <c r="B31" s="3" t="s">
        <v>62</v>
      </c>
      <c r="C31" s="63">
        <v>35000.0</v>
      </c>
      <c r="D31" s="63">
        <v>5000.0</v>
      </c>
      <c r="E31" s="63">
        <v>2500.0</v>
      </c>
      <c r="F31" s="63">
        <v>2500.0</v>
      </c>
      <c r="G31" s="55">
        <v>10000.0</v>
      </c>
      <c r="H31" s="36"/>
      <c r="I31" s="5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ht="15.75" customHeight="1">
      <c r="A32" s="54">
        <v>6.0</v>
      </c>
      <c r="B32" s="3" t="s">
        <v>63</v>
      </c>
      <c r="C32" s="63">
        <v>35000.0</v>
      </c>
      <c r="D32" s="63">
        <v>5000.0</v>
      </c>
      <c r="E32" s="63">
        <v>2500.0</v>
      </c>
      <c r="F32" s="63">
        <v>2500.0</v>
      </c>
      <c r="G32" s="55">
        <v>10000.0</v>
      </c>
      <c r="H32" s="36"/>
      <c r="I32" s="5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ht="15.75" customHeight="1">
      <c r="A33" s="54">
        <v>7.0</v>
      </c>
      <c r="B33" s="3" t="s">
        <v>64</v>
      </c>
      <c r="C33" s="63">
        <v>35000.0</v>
      </c>
      <c r="D33" s="63">
        <v>5000.0</v>
      </c>
      <c r="E33" s="63">
        <v>2500.0</v>
      </c>
      <c r="F33" s="63">
        <v>2500.0</v>
      </c>
      <c r="G33" s="55">
        <v>10000.0</v>
      </c>
      <c r="H33" s="36"/>
      <c r="I33" s="5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ht="15.75" customHeight="1">
      <c r="A34" s="54">
        <v>8.0</v>
      </c>
      <c r="B34" s="3" t="s">
        <v>65</v>
      </c>
      <c r="C34" s="63">
        <v>35000.0</v>
      </c>
      <c r="D34" s="63">
        <v>5000.0</v>
      </c>
      <c r="E34" s="63">
        <v>2500.0</v>
      </c>
      <c r="F34" s="63">
        <v>2500.0</v>
      </c>
      <c r="G34" s="55">
        <v>10000.0</v>
      </c>
      <c r="H34" s="36"/>
      <c r="I34" s="5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ht="15.75" customHeight="1">
      <c r="A35" s="54">
        <v>9.0</v>
      </c>
      <c r="B35" s="3" t="s">
        <v>66</v>
      </c>
      <c r="C35" s="63">
        <v>35000.0</v>
      </c>
      <c r="D35" s="63">
        <v>5000.0</v>
      </c>
      <c r="E35" s="63">
        <v>2500.0</v>
      </c>
      <c r="F35" s="63">
        <v>2500.0</v>
      </c>
      <c r="G35" s="55">
        <v>10000.0</v>
      </c>
      <c r="H35" s="36"/>
      <c r="I35" s="5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ht="15.75" customHeight="1">
      <c r="A36" s="54">
        <v>10.0</v>
      </c>
      <c r="B36" s="3" t="s">
        <v>67</v>
      </c>
      <c r="C36" s="63">
        <v>35000.0</v>
      </c>
      <c r="D36" s="63">
        <v>5000.0</v>
      </c>
      <c r="E36" s="63">
        <v>2500.0</v>
      </c>
      <c r="F36" s="63">
        <v>2500.0</v>
      </c>
      <c r="G36" s="55">
        <v>10000.0</v>
      </c>
      <c r="H36" s="36"/>
      <c r="I36" s="5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ht="15.75" customHeight="1">
      <c r="A37" s="54">
        <v>11.0</v>
      </c>
      <c r="B37" s="3" t="s">
        <v>68</v>
      </c>
      <c r="C37" s="63">
        <v>35000.0</v>
      </c>
      <c r="D37" s="63">
        <v>5000.0</v>
      </c>
      <c r="E37" s="63">
        <v>2500.0</v>
      </c>
      <c r="F37" s="63">
        <v>2500.0</v>
      </c>
      <c r="G37" s="55">
        <v>10000.0</v>
      </c>
      <c r="H37" s="36"/>
      <c r="I37" s="5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ht="15.75" customHeight="1">
      <c r="A38" s="54">
        <v>12.0</v>
      </c>
      <c r="B38" s="3" t="s">
        <v>69</v>
      </c>
      <c r="C38" s="63">
        <v>35000.0</v>
      </c>
      <c r="D38" s="63">
        <v>5000.0</v>
      </c>
      <c r="E38" s="63">
        <v>2500.0</v>
      </c>
      <c r="F38" s="63">
        <v>2500.0</v>
      </c>
      <c r="G38" s="55">
        <v>10000.0</v>
      </c>
      <c r="H38" s="36"/>
      <c r="I38" s="5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ht="15.75" customHeight="1">
      <c r="A39" s="54">
        <v>13.0</v>
      </c>
      <c r="B39" s="3" t="s">
        <v>70</v>
      </c>
      <c r="C39" s="63">
        <v>35000.0</v>
      </c>
      <c r="D39" s="63">
        <v>5000.0</v>
      </c>
      <c r="E39" s="63">
        <v>2500.0</v>
      </c>
      <c r="F39" s="63">
        <v>2500.0</v>
      </c>
      <c r="G39" s="55">
        <v>10000.0</v>
      </c>
      <c r="H39" s="36"/>
      <c r="I39" s="5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ht="15.75" customHeight="1">
      <c r="A40" s="54">
        <v>14.0</v>
      </c>
      <c r="B40" s="3" t="s">
        <v>71</v>
      </c>
      <c r="C40" s="63">
        <v>35000.0</v>
      </c>
      <c r="D40" s="63">
        <v>5000.0</v>
      </c>
      <c r="E40" s="63">
        <v>2500.0</v>
      </c>
      <c r="F40" s="63">
        <v>2500.0</v>
      </c>
      <c r="G40" s="55">
        <v>10000.0</v>
      </c>
      <c r="H40" s="36"/>
      <c r="I40" s="5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ht="15.75" customHeight="1">
      <c r="A41" s="62">
        <v>15.0</v>
      </c>
      <c r="B41" s="60" t="s">
        <v>72</v>
      </c>
      <c r="C41" s="63"/>
      <c r="D41" s="63"/>
      <c r="E41" s="63"/>
      <c r="F41" s="63"/>
      <c r="G41" s="63"/>
      <c r="H41" s="36"/>
      <c r="I41" s="5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ht="15.75" customHeight="1">
      <c r="A42" s="3"/>
      <c r="B42" s="3"/>
      <c r="C42" s="73"/>
      <c r="D42" s="73"/>
      <c r="E42" s="73"/>
      <c r="F42" s="73"/>
      <c r="G42" s="73"/>
      <c r="H42" s="36"/>
      <c r="I42" s="5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ht="15.75" customHeight="1">
      <c r="A43" s="3"/>
      <c r="B43" s="3"/>
      <c r="C43" s="36"/>
      <c r="D43" s="36"/>
      <c r="E43" s="36"/>
      <c r="F43" s="36"/>
      <c r="G43" s="36"/>
      <c r="H43" s="36"/>
      <c r="I43" s="5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ht="15.75" customHeight="1">
      <c r="A44" s="3"/>
      <c r="B44" s="3"/>
      <c r="C44" s="36"/>
      <c r="D44" s="36"/>
      <c r="E44" s="36"/>
      <c r="F44" s="36"/>
      <c r="G44" s="36"/>
      <c r="H44" s="36"/>
      <c r="I44" s="5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ht="15.75" customHeight="1">
      <c r="A45" s="3"/>
      <c r="B45" s="3"/>
      <c r="C45" s="36"/>
      <c r="D45" s="36"/>
      <c r="E45" s="36"/>
      <c r="F45" s="36"/>
      <c r="G45" s="36"/>
      <c r="H45" s="36"/>
      <c r="I45" s="5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ht="15.75" customHeight="1">
      <c r="A46" s="3"/>
      <c r="B46" s="3" t="s">
        <v>74</v>
      </c>
      <c r="C46" s="36"/>
      <c r="D46" s="36"/>
      <c r="E46" s="36"/>
      <c r="F46" s="36"/>
      <c r="G46" s="36"/>
      <c r="H46" s="36"/>
      <c r="I46" s="5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ht="15.75" customHeight="1">
      <c r="A47" s="62">
        <v>1.0</v>
      </c>
      <c r="B47" s="60" t="s">
        <v>75</v>
      </c>
      <c r="C47" s="63">
        <v>35000.0</v>
      </c>
      <c r="D47" s="63">
        <v>5000.0</v>
      </c>
      <c r="E47" s="63">
        <v>2500.0</v>
      </c>
      <c r="F47" s="63">
        <v>2500.0</v>
      </c>
      <c r="G47" s="63">
        <v>10000.0</v>
      </c>
      <c r="H47" s="36"/>
      <c r="I47" s="5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ht="15.75" customHeight="1">
      <c r="A48" s="62">
        <v>2.0</v>
      </c>
      <c r="B48" s="60" t="s">
        <v>76</v>
      </c>
      <c r="C48" s="63">
        <v>35000.0</v>
      </c>
      <c r="D48" s="63">
        <v>5000.0</v>
      </c>
      <c r="E48" s="63">
        <v>2500.0</v>
      </c>
      <c r="F48" s="63">
        <v>2500.0</v>
      </c>
      <c r="G48" s="63">
        <v>10000.0</v>
      </c>
      <c r="H48" s="36"/>
      <c r="I48" s="5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ht="15.75" customHeight="1">
      <c r="A49" s="62">
        <v>3.0</v>
      </c>
      <c r="B49" s="60" t="s">
        <v>77</v>
      </c>
      <c r="C49" s="63">
        <v>35000.0</v>
      </c>
      <c r="D49" s="63">
        <v>5000.0</v>
      </c>
      <c r="E49" s="63">
        <v>2500.0</v>
      </c>
      <c r="F49" s="63">
        <v>2500.0</v>
      </c>
      <c r="G49" s="63">
        <v>10000.0</v>
      </c>
      <c r="H49" s="36"/>
      <c r="I49" s="5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ht="15.75" customHeight="1">
      <c r="A50" s="62">
        <v>4.0</v>
      </c>
      <c r="B50" s="60" t="s">
        <v>78</v>
      </c>
      <c r="C50" s="63">
        <v>35000.0</v>
      </c>
      <c r="D50" s="63">
        <v>5000.0</v>
      </c>
      <c r="E50" s="63">
        <v>2500.0</v>
      </c>
      <c r="F50" s="63">
        <v>2500.0</v>
      </c>
      <c r="G50" s="63">
        <v>10000.0</v>
      </c>
      <c r="H50" s="36"/>
      <c r="I50" s="5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ht="15.75" customHeight="1">
      <c r="A51" s="62">
        <v>5.0</v>
      </c>
      <c r="B51" s="60" t="s">
        <v>79</v>
      </c>
      <c r="C51" s="63">
        <v>35000.0</v>
      </c>
      <c r="D51" s="63">
        <v>5000.0</v>
      </c>
      <c r="E51" s="63">
        <v>2500.0</v>
      </c>
      <c r="F51" s="63">
        <v>2500.0</v>
      </c>
      <c r="G51" s="63">
        <v>10000.0</v>
      </c>
      <c r="H51" s="36"/>
      <c r="I51" s="5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ht="15.75" customHeight="1">
      <c r="A52" s="62">
        <v>6.0</v>
      </c>
      <c r="B52" s="60" t="s">
        <v>98</v>
      </c>
      <c r="C52" s="63">
        <v>35000.0</v>
      </c>
      <c r="D52" s="63">
        <v>5000.0</v>
      </c>
      <c r="E52" s="63">
        <v>2500.0</v>
      </c>
      <c r="F52" s="63">
        <v>2500.0</v>
      </c>
      <c r="G52" s="63">
        <v>10000.0</v>
      </c>
      <c r="H52" s="36"/>
      <c r="I52" s="5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ht="15.75" customHeight="1">
      <c r="A53" s="62">
        <v>7.0</v>
      </c>
      <c r="B53" s="60" t="s">
        <v>80</v>
      </c>
      <c r="C53" s="63">
        <v>35000.0</v>
      </c>
      <c r="D53" s="63">
        <v>5000.0</v>
      </c>
      <c r="E53" s="63">
        <v>2500.0</v>
      </c>
      <c r="F53" s="63">
        <v>2500.0</v>
      </c>
      <c r="G53" s="63">
        <v>10000.0</v>
      </c>
      <c r="H53" s="36"/>
      <c r="I53" s="5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ht="15.75" customHeight="1">
      <c r="A54" s="62">
        <v>8.0</v>
      </c>
      <c r="B54" s="60" t="s">
        <v>81</v>
      </c>
      <c r="C54" s="63">
        <v>35000.0</v>
      </c>
      <c r="D54" s="63">
        <v>5000.0</v>
      </c>
      <c r="E54" s="63">
        <v>2500.0</v>
      </c>
      <c r="F54" s="63">
        <v>2500.0</v>
      </c>
      <c r="G54" s="63">
        <v>10000.0</v>
      </c>
      <c r="H54" s="36"/>
      <c r="I54" s="5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ht="15.75" customHeight="1">
      <c r="A55" s="62">
        <v>9.0</v>
      </c>
      <c r="B55" s="60" t="s">
        <v>82</v>
      </c>
      <c r="C55" s="63">
        <v>35000.0</v>
      </c>
      <c r="D55" s="63">
        <v>5000.0</v>
      </c>
      <c r="E55" s="63">
        <v>2500.0</v>
      </c>
      <c r="F55" s="63">
        <v>2500.0</v>
      </c>
      <c r="G55" s="63">
        <v>10000.0</v>
      </c>
      <c r="H55" s="36"/>
      <c r="I55" s="5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ht="15.75" customHeight="1">
      <c r="A56" s="62">
        <v>10.0</v>
      </c>
      <c r="B56" s="60" t="s">
        <v>83</v>
      </c>
      <c r="C56" s="63">
        <v>35000.0</v>
      </c>
      <c r="D56" s="63">
        <v>5000.0</v>
      </c>
      <c r="E56" s="63">
        <v>2500.0</v>
      </c>
      <c r="F56" s="63">
        <v>2500.0</v>
      </c>
      <c r="G56" s="63">
        <v>10000.0</v>
      </c>
      <c r="H56" s="36"/>
      <c r="I56" s="5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ht="15.75" customHeight="1">
      <c r="A57" s="62">
        <v>11.0</v>
      </c>
      <c r="B57" s="60" t="s">
        <v>84</v>
      </c>
      <c r="C57" s="63">
        <v>35000.0</v>
      </c>
      <c r="D57" s="63">
        <v>5000.0</v>
      </c>
      <c r="E57" s="63">
        <v>2500.0</v>
      </c>
      <c r="F57" s="63">
        <v>2500.0</v>
      </c>
      <c r="G57" s="63">
        <v>10000.0</v>
      </c>
      <c r="H57" s="36"/>
      <c r="I57" s="5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ht="15.75" customHeight="1">
      <c r="A58" s="62">
        <v>12.0</v>
      </c>
      <c r="B58" s="60" t="s">
        <v>85</v>
      </c>
      <c r="C58" s="63">
        <v>35000.0</v>
      </c>
      <c r="D58" s="63">
        <v>5000.0</v>
      </c>
      <c r="E58" s="63">
        <v>2500.0</v>
      </c>
      <c r="F58" s="63">
        <v>2500.0</v>
      </c>
      <c r="G58" s="63">
        <v>10000.0</v>
      </c>
      <c r="H58" s="36"/>
      <c r="I58" s="5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ht="15.75" customHeight="1">
      <c r="A59" s="62">
        <v>13.0</v>
      </c>
      <c r="B59" s="60" t="s">
        <v>86</v>
      </c>
      <c r="C59" s="63"/>
      <c r="D59" s="63"/>
      <c r="E59" s="63"/>
      <c r="F59" s="63"/>
      <c r="G59" s="63"/>
      <c r="H59" s="36"/>
      <c r="I59" s="5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ht="15.75" customHeight="1">
      <c r="A60" s="50">
        <v>14.0</v>
      </c>
      <c r="B60" s="50" t="s">
        <v>99</v>
      </c>
      <c r="C60" s="63"/>
      <c r="D60" s="63"/>
      <c r="E60" s="63"/>
      <c r="F60" s="63"/>
      <c r="G60" s="63"/>
      <c r="H60" s="36"/>
      <c r="I60" s="5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ht="15.75" customHeight="1">
      <c r="A61" s="3"/>
      <c r="B61" s="3"/>
      <c r="C61" s="36"/>
      <c r="D61" s="36"/>
      <c r="E61" s="36"/>
      <c r="F61" s="36"/>
      <c r="G61" s="36"/>
      <c r="H61" s="36"/>
      <c r="I61" s="5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ht="15.75" customHeight="1">
      <c r="A62" s="3"/>
      <c r="B62" s="3"/>
      <c r="C62" s="36"/>
      <c r="D62" s="36"/>
      <c r="E62" s="36"/>
      <c r="F62" s="36"/>
      <c r="G62" s="36"/>
      <c r="H62" s="36"/>
      <c r="I62" s="5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ht="15.75" customHeight="1">
      <c r="A63" s="3"/>
      <c r="B63" s="3"/>
      <c r="C63" s="36"/>
      <c r="D63" s="36"/>
      <c r="E63" s="36"/>
      <c r="F63" s="36"/>
      <c r="G63" s="36"/>
      <c r="H63" s="36"/>
      <c r="I63" s="36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ht="15.75" customHeight="1">
      <c r="A64" s="3"/>
      <c r="B64" s="3" t="s">
        <v>87</v>
      </c>
      <c r="C64" s="36"/>
      <c r="D64" s="36"/>
      <c r="E64" s="36"/>
      <c r="F64" s="36"/>
      <c r="G64" s="36"/>
      <c r="H64" s="36"/>
      <c r="I64" s="5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ht="15.75" customHeight="1">
      <c r="A65" s="50">
        <v>1.0</v>
      </c>
      <c r="B65" s="50" t="s">
        <v>100</v>
      </c>
      <c r="C65" s="55">
        <v>210000.0</v>
      </c>
      <c r="D65" s="63">
        <v>30000.0</v>
      </c>
      <c r="E65" s="63">
        <v>15000.0</v>
      </c>
      <c r="F65" s="63">
        <v>15000.0</v>
      </c>
      <c r="G65" s="55">
        <v>60000.0</v>
      </c>
      <c r="H65" s="56">
        <f t="shared" ref="H65:H67" si="3">SUM(C65:G65)</f>
        <v>330000</v>
      </c>
      <c r="I65" s="56">
        <f>SUM(C65:F65)</f>
        <v>270000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ht="15.75" customHeight="1">
      <c r="A66" s="69">
        <v>2.0</v>
      </c>
      <c r="B66" s="50" t="s">
        <v>101</v>
      </c>
      <c r="C66" s="59">
        <f t="shared" ref="C66:C67" si="4">35000 * 12</f>
        <v>420000</v>
      </c>
      <c r="D66" s="59">
        <v>60000.0</v>
      </c>
      <c r="E66" s="59">
        <f t="shared" ref="E66:F66" si="2">12*2500</f>
        <v>30000</v>
      </c>
      <c r="F66" s="59">
        <f t="shared" si="2"/>
        <v>30000</v>
      </c>
      <c r="G66" s="59">
        <v>120000.0</v>
      </c>
      <c r="H66" s="56">
        <f t="shared" si="3"/>
        <v>660000</v>
      </c>
      <c r="I66" s="56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ht="15.75" customHeight="1">
      <c r="A67" s="69">
        <v>3.0</v>
      </c>
      <c r="B67" s="50" t="s">
        <v>102</v>
      </c>
      <c r="C67" s="59">
        <f t="shared" si="4"/>
        <v>420000</v>
      </c>
      <c r="D67" s="59">
        <v>60000.0</v>
      </c>
      <c r="E67" s="59">
        <f t="shared" ref="E67:F67" si="5">12*2500</f>
        <v>30000</v>
      </c>
      <c r="F67" s="59">
        <f t="shared" si="5"/>
        <v>30000</v>
      </c>
      <c r="G67" s="59">
        <v>120000.0</v>
      </c>
      <c r="H67" s="56">
        <f t="shared" si="3"/>
        <v>660000</v>
      </c>
      <c r="I67" s="56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ht="15.75" customHeight="1"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ht="15.75" customHeight="1">
      <c r="A69" s="3"/>
      <c r="B69" s="3"/>
      <c r="C69" s="36"/>
      <c r="D69" s="36"/>
      <c r="E69" s="36"/>
      <c r="F69" s="36"/>
      <c r="G69" s="36"/>
      <c r="H69" s="36"/>
      <c r="I69" s="5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ht="15.75" customHeight="1">
      <c r="A70" s="3"/>
      <c r="B70" s="3"/>
      <c r="C70" s="36"/>
      <c r="D70" s="36"/>
      <c r="E70" s="36"/>
      <c r="F70" s="36"/>
      <c r="G70" s="36"/>
      <c r="H70" s="36"/>
      <c r="I70" s="5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ht="15.75" customHeight="1">
      <c r="A71" s="3"/>
      <c r="B71" s="3"/>
      <c r="C71" s="36"/>
      <c r="D71" s="36"/>
      <c r="E71" s="36"/>
      <c r="F71" s="36"/>
      <c r="G71" s="36"/>
      <c r="H71" s="36"/>
      <c r="I71" s="5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ht="15.75" customHeight="1">
      <c r="A72" s="3"/>
      <c r="B72" s="3"/>
      <c r="C72" s="36"/>
      <c r="D72" s="36"/>
      <c r="E72" s="36"/>
      <c r="F72" s="36"/>
      <c r="G72" s="36"/>
      <c r="H72" s="36"/>
      <c r="I72" s="5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ht="15.75" customHeight="1">
      <c r="A73" s="3"/>
      <c r="B73" s="3"/>
      <c r="C73" s="36"/>
      <c r="D73" s="36"/>
      <c r="E73" s="36"/>
      <c r="F73" s="36"/>
      <c r="G73" s="36"/>
      <c r="H73" s="35"/>
      <c r="I73" s="5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ht="15.75" customHeight="1">
      <c r="A74" s="3"/>
      <c r="B74" s="3"/>
      <c r="C74" s="36"/>
      <c r="D74" s="36"/>
      <c r="E74" s="36"/>
      <c r="F74" s="36"/>
      <c r="G74" s="36"/>
      <c r="H74" s="35"/>
      <c r="I74" s="5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ht="15.75" customHeight="1">
      <c r="A75" s="3"/>
      <c r="B75" s="3"/>
      <c r="C75" s="36"/>
      <c r="D75" s="36"/>
      <c r="E75" s="36"/>
      <c r="F75" s="36"/>
      <c r="G75" s="36"/>
      <c r="H75" s="35"/>
      <c r="I75" s="5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ht="15.75" customHeight="1">
      <c r="A76" s="69">
        <v>4.0</v>
      </c>
      <c r="B76" s="3" t="s">
        <v>90</v>
      </c>
      <c r="C76" s="35">
        <f t="shared" ref="C76:G76" si="6">SUM(C3:C24)</f>
        <v>595000</v>
      </c>
      <c r="D76" s="35">
        <f t="shared" si="6"/>
        <v>85000</v>
      </c>
      <c r="E76" s="35">
        <f t="shared" si="6"/>
        <v>40000</v>
      </c>
      <c r="F76" s="35">
        <f t="shared" si="6"/>
        <v>40000</v>
      </c>
      <c r="G76" s="35">
        <f t="shared" si="6"/>
        <v>160000</v>
      </c>
      <c r="H76" s="35">
        <f t="shared" ref="H76:H78" si="8">SUM(C76:G76)</f>
        <v>920000</v>
      </c>
      <c r="I76" s="56">
        <f>SUM(C76:F76)</f>
        <v>760000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ht="15.75" customHeight="1">
      <c r="A77" s="69">
        <v>5.0</v>
      </c>
      <c r="B77" s="3" t="s">
        <v>91</v>
      </c>
      <c r="C77" s="21">
        <f t="shared" ref="C77:G77" si="7">SuM(C27:C44)</f>
        <v>490000</v>
      </c>
      <c r="D77" s="21">
        <f t="shared" si="7"/>
        <v>70000</v>
      </c>
      <c r="E77" s="21">
        <f t="shared" si="7"/>
        <v>35000</v>
      </c>
      <c r="F77" s="21">
        <f t="shared" si="7"/>
        <v>35000</v>
      </c>
      <c r="G77" s="21">
        <f t="shared" si="7"/>
        <v>140000</v>
      </c>
      <c r="H77" s="35">
        <f t="shared" si="8"/>
        <v>770000</v>
      </c>
      <c r="I77" s="5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ht="15.75" customHeight="1">
      <c r="A78" s="69">
        <v>6.0</v>
      </c>
      <c r="B78" s="3" t="s">
        <v>92</v>
      </c>
      <c r="C78" s="35">
        <f t="shared" ref="C78:G78" si="9">SUM(C47:C62)</f>
        <v>420000</v>
      </c>
      <c r="D78" s="35">
        <f t="shared" si="9"/>
        <v>60000</v>
      </c>
      <c r="E78" s="35">
        <f t="shared" si="9"/>
        <v>30000</v>
      </c>
      <c r="F78" s="35">
        <f t="shared" si="9"/>
        <v>30000</v>
      </c>
      <c r="G78" s="35">
        <f t="shared" si="9"/>
        <v>120000</v>
      </c>
      <c r="H78" s="35">
        <f t="shared" si="8"/>
        <v>660000</v>
      </c>
      <c r="I78" s="56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ht="15.75" customHeight="1">
      <c r="A79" s="69">
        <v>7.0</v>
      </c>
      <c r="B79" s="3" t="s">
        <v>93</v>
      </c>
      <c r="C79" s="70">
        <f>Jan!C33</f>
        <v>6379500</v>
      </c>
      <c r="D79" s="70">
        <f>Jan!C34</f>
        <v>1407000</v>
      </c>
      <c r="E79" s="70">
        <f>Jan!C35</f>
        <v>3123500</v>
      </c>
      <c r="F79" s="70">
        <f>Jan!C36</f>
        <v>942500</v>
      </c>
      <c r="G79" s="70">
        <f>Jan!C37</f>
        <v>2083500</v>
      </c>
      <c r="H79" s="74">
        <f>Jan!C38</f>
        <v>13936000</v>
      </c>
      <c r="I79" s="5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ht="15.75" customHeight="1">
      <c r="A80" s="3"/>
      <c r="B80" s="72" t="s">
        <v>94</v>
      </c>
      <c r="C80" s="35">
        <f t="shared" ref="C80:G80" si="10">SUM(C66:C79)</f>
        <v>8724500</v>
      </c>
      <c r="D80" s="35">
        <f t="shared" si="10"/>
        <v>1742000</v>
      </c>
      <c r="E80" s="35">
        <f t="shared" si="10"/>
        <v>3288500</v>
      </c>
      <c r="F80" s="35">
        <f t="shared" si="10"/>
        <v>1107500</v>
      </c>
      <c r="G80" s="35">
        <f t="shared" si="10"/>
        <v>2743500</v>
      </c>
      <c r="H80" s="35">
        <f>SUM(C80:G80)</f>
        <v>17606000</v>
      </c>
      <c r="I80" s="5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51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51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ht="15.75" customHeight="1">
      <c r="A83" s="3"/>
      <c r="B83" s="70"/>
      <c r="C83" s="70"/>
      <c r="D83" s="70"/>
      <c r="E83" s="70"/>
      <c r="F83" s="70"/>
      <c r="G83" s="70"/>
      <c r="H83" s="70"/>
      <c r="I83" s="51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ht="15.75" customHeight="1">
      <c r="A84" s="3"/>
      <c r="B84" s="3"/>
      <c r="C84" s="70"/>
      <c r="D84" s="3"/>
      <c r="E84" s="3"/>
      <c r="F84" s="3"/>
      <c r="G84" s="3"/>
      <c r="H84" s="3"/>
      <c r="I84" s="51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51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ht="15.75" customHeight="1">
      <c r="A86" s="3"/>
      <c r="B86" s="3"/>
      <c r="C86" s="23"/>
      <c r="D86" s="3"/>
      <c r="E86" s="3"/>
      <c r="F86" s="3"/>
      <c r="G86" s="3"/>
      <c r="H86" s="3"/>
      <c r="I86" s="51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51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51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51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51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51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51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51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51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51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51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51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51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51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51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51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51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51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51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51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51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51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51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51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51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51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51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51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51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51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51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51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51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51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51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51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51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51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51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51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51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51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51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51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51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51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51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51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51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51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51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51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51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51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51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51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51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51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51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51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51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51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51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51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51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51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51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51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51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51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51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51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51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51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51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51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51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51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51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51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51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51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51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51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51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51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51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51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51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51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51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51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51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51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51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51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51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51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51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51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51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51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51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51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51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51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51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51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51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51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51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51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51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51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51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51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51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51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51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51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51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51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51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51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51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51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51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51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51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51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51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51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51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51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51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51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51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51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51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51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51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51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51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51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51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51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51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51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51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51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51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51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51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51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51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51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51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51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51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51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51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51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51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51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51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51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51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51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51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51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51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51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51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51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51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51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51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51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51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51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51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51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51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51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51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51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51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51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51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51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51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51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51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51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51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88"/>
    <col customWidth="1" min="2" max="2" width="23.13"/>
    <col customWidth="1" min="3" max="5" width="14.0"/>
    <col customWidth="1" min="6" max="6" width="12.63"/>
    <col customWidth="1" min="8" max="8" width="15.0"/>
    <col customWidth="1" min="9" max="9" width="14.13"/>
  </cols>
  <sheetData>
    <row r="1" ht="15.75" customHeight="1">
      <c r="A1" s="3"/>
      <c r="B1" s="3" t="s">
        <v>30</v>
      </c>
      <c r="C1" s="50" t="s">
        <v>31</v>
      </c>
      <c r="D1" s="3" t="s">
        <v>32</v>
      </c>
      <c r="E1" s="3" t="s">
        <v>33</v>
      </c>
      <c r="F1" s="3" t="s">
        <v>34</v>
      </c>
      <c r="G1" s="50" t="s">
        <v>95</v>
      </c>
      <c r="H1" s="3"/>
      <c r="I1" s="51" t="s">
        <v>36</v>
      </c>
      <c r="J1" s="3"/>
      <c r="K1" s="3"/>
      <c r="L1" s="3"/>
      <c r="M1" s="3"/>
      <c r="N1" s="3"/>
      <c r="O1" s="5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15.75" customHeight="1">
      <c r="A2" s="3"/>
      <c r="B2" s="3" t="s">
        <v>37</v>
      </c>
      <c r="C2" s="36"/>
      <c r="D2" s="36"/>
      <c r="E2" s="36"/>
      <c r="F2" s="36"/>
      <c r="G2" s="36"/>
      <c r="H2" s="36"/>
      <c r="I2" s="5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15.75" customHeight="1">
      <c r="A3" s="54">
        <v>1.0</v>
      </c>
      <c r="B3" s="3" t="s">
        <v>38</v>
      </c>
      <c r="C3" s="55">
        <v>35000.0</v>
      </c>
      <c r="D3" s="55">
        <v>5000.0</v>
      </c>
      <c r="E3" s="55">
        <v>2500.0</v>
      </c>
      <c r="F3" s="55">
        <v>2500.0</v>
      </c>
      <c r="G3" s="55">
        <v>10000.0</v>
      </c>
      <c r="H3" s="36"/>
      <c r="I3" s="56">
        <f t="shared" ref="I3:I21" si="1">SUM(C3:F3)</f>
        <v>45000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15.75" customHeight="1">
      <c r="A4" s="54">
        <v>2.0</v>
      </c>
      <c r="B4" s="3" t="s">
        <v>39</v>
      </c>
      <c r="C4" s="55">
        <v>35000.0</v>
      </c>
      <c r="D4" s="55">
        <v>5000.0</v>
      </c>
      <c r="E4" s="55">
        <v>2500.0</v>
      </c>
      <c r="F4" s="55">
        <v>2500.0</v>
      </c>
      <c r="G4" s="55">
        <v>10000.0</v>
      </c>
      <c r="H4" s="36"/>
      <c r="I4" s="56">
        <f t="shared" si="1"/>
        <v>45000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ht="15.75" customHeight="1">
      <c r="A5" s="54">
        <v>3.0</v>
      </c>
      <c r="B5" s="3" t="s">
        <v>40</v>
      </c>
      <c r="C5" s="55">
        <v>35000.0</v>
      </c>
      <c r="D5" s="55">
        <v>5000.0</v>
      </c>
      <c r="E5" s="55">
        <v>2500.0</v>
      </c>
      <c r="F5" s="55">
        <v>2500.0</v>
      </c>
      <c r="G5" s="55">
        <v>10000.0</v>
      </c>
      <c r="H5" s="36"/>
      <c r="I5" s="56">
        <f t="shared" si="1"/>
        <v>45000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15.75" customHeight="1">
      <c r="A6" s="54">
        <v>4.0</v>
      </c>
      <c r="B6" s="3" t="s">
        <v>41</v>
      </c>
      <c r="C6" s="55">
        <v>35000.0</v>
      </c>
      <c r="D6" s="55">
        <v>5000.0</v>
      </c>
      <c r="E6" s="55">
        <v>2500.0</v>
      </c>
      <c r="F6" s="55">
        <v>2500.0</v>
      </c>
      <c r="G6" s="55">
        <v>10000.0</v>
      </c>
      <c r="H6" s="36"/>
      <c r="I6" s="56">
        <f t="shared" si="1"/>
        <v>45000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ht="15.75" customHeight="1">
      <c r="A7" s="54">
        <v>5.0</v>
      </c>
      <c r="B7" s="3" t="s">
        <v>42</v>
      </c>
      <c r="C7" s="55">
        <v>35000.0</v>
      </c>
      <c r="D7" s="55">
        <v>5000.0</v>
      </c>
      <c r="E7" s="55">
        <v>2500.0</v>
      </c>
      <c r="F7" s="55">
        <v>2500.0</v>
      </c>
      <c r="G7" s="55">
        <v>10000.0</v>
      </c>
      <c r="H7" s="36"/>
      <c r="I7" s="56">
        <f t="shared" si="1"/>
        <v>45000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ht="15.75" customHeight="1">
      <c r="A8" s="54">
        <v>6.0</v>
      </c>
      <c r="B8" s="3" t="s">
        <v>43</v>
      </c>
      <c r="C8" s="55">
        <v>70000.0</v>
      </c>
      <c r="D8" s="55">
        <v>10000.0</v>
      </c>
      <c r="E8" s="55">
        <v>2500.0</v>
      </c>
      <c r="F8" s="55">
        <v>2500.0</v>
      </c>
      <c r="G8" s="55">
        <v>10000.0</v>
      </c>
      <c r="H8" s="36"/>
      <c r="I8" s="56">
        <f t="shared" si="1"/>
        <v>85000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15.75" customHeight="1">
      <c r="A9" s="54">
        <v>7.0</v>
      </c>
      <c r="B9" s="3" t="s">
        <v>44</v>
      </c>
      <c r="C9" s="55">
        <v>35000.0</v>
      </c>
      <c r="D9" s="55">
        <v>5000.0</v>
      </c>
      <c r="E9" s="55">
        <v>2500.0</v>
      </c>
      <c r="F9" s="55">
        <v>2500.0</v>
      </c>
      <c r="G9" s="55">
        <v>10000.0</v>
      </c>
      <c r="H9" s="36"/>
      <c r="I9" s="56">
        <f t="shared" si="1"/>
        <v>45000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57"/>
      <c r="Z9" s="3"/>
      <c r="AA9" s="3"/>
      <c r="AB9" s="3"/>
      <c r="AC9" s="3"/>
    </row>
    <row r="10" ht="15.75" customHeight="1">
      <c r="A10" s="54">
        <v>8.0</v>
      </c>
      <c r="B10" s="3" t="s">
        <v>45</v>
      </c>
      <c r="C10" s="55">
        <v>35000.0</v>
      </c>
      <c r="D10" s="55">
        <v>5000.0</v>
      </c>
      <c r="E10" s="55">
        <v>2500.0</v>
      </c>
      <c r="F10" s="55">
        <v>2500.0</v>
      </c>
      <c r="G10" s="55">
        <v>10000.0</v>
      </c>
      <c r="H10" s="36"/>
      <c r="I10" s="56">
        <f t="shared" si="1"/>
        <v>45000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15.75" customHeight="1">
      <c r="A11" s="54">
        <v>9.0</v>
      </c>
      <c r="B11" s="3" t="s">
        <v>46</v>
      </c>
      <c r="C11" s="55">
        <v>35000.0</v>
      </c>
      <c r="D11" s="55">
        <v>5000.0</v>
      </c>
      <c r="E11" s="55">
        <v>2500.0</v>
      </c>
      <c r="F11" s="55">
        <v>2500.0</v>
      </c>
      <c r="G11" s="55">
        <v>10000.0</v>
      </c>
      <c r="H11" s="36"/>
      <c r="I11" s="56">
        <f t="shared" si="1"/>
        <v>45000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15.75" customHeight="1">
      <c r="A12" s="54">
        <v>10.0</v>
      </c>
      <c r="B12" s="3" t="s">
        <v>47</v>
      </c>
      <c r="C12" s="55">
        <v>35000.0</v>
      </c>
      <c r="D12" s="55">
        <v>5000.0</v>
      </c>
      <c r="E12" s="55">
        <v>2500.0</v>
      </c>
      <c r="F12" s="55">
        <v>2500.0</v>
      </c>
      <c r="G12" s="55">
        <v>10000.0</v>
      </c>
      <c r="H12" s="36"/>
      <c r="I12" s="56">
        <f t="shared" si="1"/>
        <v>45000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ht="15.75" customHeight="1">
      <c r="A13" s="54">
        <v>11.0</v>
      </c>
      <c r="B13" s="3" t="s">
        <v>48</v>
      </c>
      <c r="C13" s="55">
        <v>35000.0</v>
      </c>
      <c r="D13" s="55">
        <v>5000.0</v>
      </c>
      <c r="E13" s="55">
        <v>2500.0</v>
      </c>
      <c r="F13" s="55">
        <v>2500.0</v>
      </c>
      <c r="G13" s="55">
        <v>10000.0</v>
      </c>
      <c r="H13" s="36"/>
      <c r="I13" s="56">
        <f t="shared" si="1"/>
        <v>45000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15.75" customHeight="1">
      <c r="A14" s="54">
        <v>12.0</v>
      </c>
      <c r="B14" s="3" t="s">
        <v>49</v>
      </c>
      <c r="C14" s="58">
        <v>0.0</v>
      </c>
      <c r="D14" s="59">
        <v>0.0</v>
      </c>
      <c r="E14" s="59">
        <v>0.0</v>
      </c>
      <c r="F14" s="59">
        <v>0.0</v>
      </c>
      <c r="G14" s="59">
        <v>0.0</v>
      </c>
      <c r="H14" s="36"/>
      <c r="I14" s="56">
        <f t="shared" si="1"/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15.75" customHeight="1">
      <c r="A15" s="54">
        <v>13.0</v>
      </c>
      <c r="B15" s="3" t="s">
        <v>50</v>
      </c>
      <c r="C15" s="55">
        <v>35000.0</v>
      </c>
      <c r="D15" s="55">
        <v>5000.0</v>
      </c>
      <c r="E15" s="55">
        <v>2500.0</v>
      </c>
      <c r="F15" s="55">
        <v>2500.0</v>
      </c>
      <c r="G15" s="55">
        <v>10000.0</v>
      </c>
      <c r="H15" s="36"/>
      <c r="I15" s="56">
        <f t="shared" si="1"/>
        <v>45000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15.75" customHeight="1">
      <c r="A16" s="54">
        <v>14.0</v>
      </c>
      <c r="B16" s="3" t="s">
        <v>51</v>
      </c>
      <c r="C16" s="55">
        <v>35000.0</v>
      </c>
      <c r="D16" s="55">
        <v>5000.0</v>
      </c>
      <c r="E16" s="55">
        <v>2500.0</v>
      </c>
      <c r="F16" s="55">
        <v>2500.0</v>
      </c>
      <c r="G16" s="55">
        <v>10000.0</v>
      </c>
      <c r="H16" s="36"/>
      <c r="I16" s="56">
        <f t="shared" si="1"/>
        <v>45000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ht="15.75" customHeight="1">
      <c r="A17" s="54">
        <v>15.0</v>
      </c>
      <c r="B17" s="3" t="s">
        <v>96</v>
      </c>
      <c r="C17" s="55">
        <v>0.0</v>
      </c>
      <c r="D17" s="55">
        <v>0.0</v>
      </c>
      <c r="E17" s="55">
        <v>0.0</v>
      </c>
      <c r="F17" s="55">
        <v>0.0</v>
      </c>
      <c r="G17" s="55">
        <v>0.0</v>
      </c>
      <c r="H17" s="36"/>
      <c r="I17" s="56">
        <f t="shared" si="1"/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ht="15.75" customHeight="1">
      <c r="A18" s="54">
        <v>16.0</v>
      </c>
      <c r="B18" s="3" t="s">
        <v>53</v>
      </c>
      <c r="C18" s="55">
        <v>0.0</v>
      </c>
      <c r="D18" s="55">
        <v>0.0</v>
      </c>
      <c r="E18" s="55">
        <v>0.0</v>
      </c>
      <c r="F18" s="55">
        <v>0.0</v>
      </c>
      <c r="G18" s="55">
        <v>0.0</v>
      </c>
      <c r="H18" s="36"/>
      <c r="I18" s="56">
        <f t="shared" si="1"/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ht="15.75" customHeight="1">
      <c r="A19" s="54">
        <v>17.0</v>
      </c>
      <c r="B19" s="3" t="s">
        <v>54</v>
      </c>
      <c r="C19" s="55">
        <v>35000.0</v>
      </c>
      <c r="D19" s="55">
        <v>5000.0</v>
      </c>
      <c r="E19" s="55">
        <v>2500.0</v>
      </c>
      <c r="F19" s="55">
        <v>2500.0</v>
      </c>
      <c r="G19" s="55">
        <v>10000.0</v>
      </c>
      <c r="H19" s="36"/>
      <c r="I19" s="56">
        <f t="shared" si="1"/>
        <v>45000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ht="15.75" customHeight="1">
      <c r="A20" s="54">
        <v>18.0</v>
      </c>
      <c r="B20" s="50" t="s">
        <v>97</v>
      </c>
      <c r="C20" s="59">
        <v>0.0</v>
      </c>
      <c r="D20" s="59">
        <v>0.0</v>
      </c>
      <c r="E20" s="59">
        <v>0.0</v>
      </c>
      <c r="F20" s="59">
        <v>0.0</v>
      </c>
      <c r="G20" s="59">
        <v>0.0</v>
      </c>
      <c r="H20" s="36"/>
      <c r="I20" s="56">
        <f t="shared" si="1"/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ht="15.75" customHeight="1">
      <c r="A21" s="54">
        <v>19.0</v>
      </c>
      <c r="B21" s="3" t="s">
        <v>56</v>
      </c>
      <c r="C21" s="55">
        <v>0.0</v>
      </c>
      <c r="D21" s="55">
        <v>0.0</v>
      </c>
      <c r="E21" s="55">
        <v>0.0</v>
      </c>
      <c r="F21" s="55">
        <v>0.0</v>
      </c>
      <c r="G21" s="55">
        <v>0.0</v>
      </c>
      <c r="H21" s="36"/>
      <c r="I21" s="56">
        <f t="shared" si="1"/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ht="15.75" customHeight="1">
      <c r="A22" s="3"/>
      <c r="B22" s="3"/>
      <c r="C22" s="36"/>
      <c r="D22" s="36"/>
      <c r="E22" s="36"/>
      <c r="F22" s="36"/>
      <c r="G22" s="36"/>
      <c r="H22" s="36"/>
      <c r="I22" s="5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ht="15.75" customHeight="1">
      <c r="A23" s="3"/>
      <c r="B23" s="3"/>
      <c r="C23" s="36"/>
      <c r="D23" s="36"/>
      <c r="E23" s="36"/>
      <c r="F23" s="36"/>
      <c r="G23" s="36"/>
      <c r="H23" s="36"/>
      <c r="I23" s="5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ht="15.75" customHeight="1">
      <c r="A24" s="3"/>
      <c r="B24" s="3"/>
      <c r="C24" s="36"/>
      <c r="D24" s="36"/>
      <c r="E24" s="36"/>
      <c r="F24" s="36"/>
      <c r="G24" s="36"/>
      <c r="H24" s="36"/>
      <c r="I24" s="5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ht="15.75" customHeight="1">
      <c r="A25" s="3"/>
      <c r="B25" s="3"/>
      <c r="C25" s="36"/>
      <c r="D25" s="36"/>
      <c r="E25" s="36"/>
      <c r="F25" s="36"/>
      <c r="G25" s="36"/>
      <c r="H25" s="36"/>
      <c r="I25" s="5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ht="15.75" customHeight="1">
      <c r="A26" s="3"/>
      <c r="B26" s="3" t="s">
        <v>57</v>
      </c>
      <c r="C26" s="36"/>
      <c r="D26" s="36"/>
      <c r="E26" s="36"/>
      <c r="F26" s="36"/>
      <c r="G26" s="36"/>
      <c r="H26" s="36"/>
      <c r="I26" s="5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ht="15.75" customHeight="1">
      <c r="A27" s="54">
        <v>1.0</v>
      </c>
      <c r="B27" s="3" t="s">
        <v>58</v>
      </c>
      <c r="C27" s="55">
        <v>35000.0</v>
      </c>
      <c r="D27" s="55">
        <v>5000.0</v>
      </c>
      <c r="E27" s="55">
        <v>2500.0</v>
      </c>
      <c r="F27" s="55">
        <v>2500.0</v>
      </c>
      <c r="G27" s="55">
        <v>10000.0</v>
      </c>
      <c r="H27" s="36"/>
      <c r="I27" s="5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ht="15.75" customHeight="1">
      <c r="A28" s="54">
        <v>2.0</v>
      </c>
      <c r="B28" s="3" t="s">
        <v>59</v>
      </c>
      <c r="C28" s="55">
        <v>35000.0</v>
      </c>
      <c r="D28" s="55">
        <v>5000.0</v>
      </c>
      <c r="E28" s="55">
        <v>2500.0</v>
      </c>
      <c r="F28" s="55">
        <v>2500.0</v>
      </c>
      <c r="G28" s="55">
        <v>10000.0</v>
      </c>
      <c r="H28" s="36"/>
      <c r="I28" s="5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ht="15.75" customHeight="1">
      <c r="A29" s="54">
        <v>3.0</v>
      </c>
      <c r="B29" s="3" t="s">
        <v>60</v>
      </c>
      <c r="C29" s="55">
        <v>35000.0</v>
      </c>
      <c r="D29" s="55">
        <v>5000.0</v>
      </c>
      <c r="E29" s="55">
        <v>2500.0</v>
      </c>
      <c r="F29" s="55">
        <v>2500.0</v>
      </c>
      <c r="G29" s="55">
        <v>10000.0</v>
      </c>
      <c r="H29" s="36"/>
      <c r="I29" s="5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ht="15.75" customHeight="1">
      <c r="A30" s="54">
        <v>4.0</v>
      </c>
      <c r="B30" s="3" t="s">
        <v>61</v>
      </c>
      <c r="C30" s="55">
        <v>35000.0</v>
      </c>
      <c r="D30" s="55">
        <v>5000.0</v>
      </c>
      <c r="E30" s="55">
        <v>2500.0</v>
      </c>
      <c r="F30" s="55">
        <v>2500.0</v>
      </c>
      <c r="G30" s="55">
        <v>10000.0</v>
      </c>
      <c r="H30" s="36"/>
      <c r="I30" s="5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ht="15.75" customHeight="1">
      <c r="A31" s="54">
        <v>5.0</v>
      </c>
      <c r="B31" s="3" t="s">
        <v>62</v>
      </c>
      <c r="C31" s="55">
        <v>35000.0</v>
      </c>
      <c r="D31" s="55">
        <v>5000.0</v>
      </c>
      <c r="E31" s="55">
        <v>2500.0</v>
      </c>
      <c r="F31" s="55">
        <v>2500.0</v>
      </c>
      <c r="G31" s="55">
        <v>10000.0</v>
      </c>
      <c r="H31" s="36"/>
      <c r="I31" s="5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ht="15.75" customHeight="1">
      <c r="A32" s="54">
        <v>6.0</v>
      </c>
      <c r="B32" s="3" t="s">
        <v>63</v>
      </c>
      <c r="C32" s="55">
        <v>35000.0</v>
      </c>
      <c r="D32" s="55">
        <v>5000.0</v>
      </c>
      <c r="E32" s="55">
        <v>2500.0</v>
      </c>
      <c r="F32" s="55">
        <v>2500.0</v>
      </c>
      <c r="G32" s="55">
        <v>10000.0</v>
      </c>
      <c r="H32" s="36"/>
      <c r="I32" s="5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ht="15.75" customHeight="1">
      <c r="A33" s="54">
        <v>7.0</v>
      </c>
      <c r="B33" s="3" t="s">
        <v>64</v>
      </c>
      <c r="C33" s="55">
        <v>35000.0</v>
      </c>
      <c r="D33" s="55">
        <v>5000.0</v>
      </c>
      <c r="E33" s="55">
        <v>2500.0</v>
      </c>
      <c r="F33" s="55">
        <v>2500.0</v>
      </c>
      <c r="G33" s="55">
        <v>10000.0</v>
      </c>
      <c r="H33" s="36"/>
      <c r="I33" s="5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ht="15.75" customHeight="1">
      <c r="A34" s="54">
        <v>8.0</v>
      </c>
      <c r="B34" s="3" t="s">
        <v>65</v>
      </c>
      <c r="C34" s="55">
        <v>35000.0</v>
      </c>
      <c r="D34" s="55">
        <v>5000.0</v>
      </c>
      <c r="E34" s="55">
        <v>2500.0</v>
      </c>
      <c r="F34" s="55">
        <v>2500.0</v>
      </c>
      <c r="G34" s="55">
        <v>10000.0</v>
      </c>
      <c r="H34" s="36"/>
      <c r="I34" s="5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ht="15.75" customHeight="1">
      <c r="A35" s="54">
        <v>9.0</v>
      </c>
      <c r="B35" s="3" t="s">
        <v>66</v>
      </c>
      <c r="C35" s="55">
        <v>35000.0</v>
      </c>
      <c r="D35" s="55">
        <v>5000.0</v>
      </c>
      <c r="E35" s="55">
        <v>2500.0</v>
      </c>
      <c r="F35" s="55">
        <v>2500.0</v>
      </c>
      <c r="G35" s="55">
        <v>10000.0</v>
      </c>
      <c r="H35" s="36"/>
      <c r="I35" s="5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ht="15.75" customHeight="1">
      <c r="A36" s="54">
        <v>10.0</v>
      </c>
      <c r="B36" s="3" t="s">
        <v>67</v>
      </c>
      <c r="C36" s="55">
        <v>35000.0</v>
      </c>
      <c r="D36" s="55">
        <v>5000.0</v>
      </c>
      <c r="E36" s="55">
        <v>2500.0</v>
      </c>
      <c r="F36" s="55">
        <v>2500.0</v>
      </c>
      <c r="G36" s="55">
        <v>10000.0</v>
      </c>
      <c r="H36" s="36"/>
      <c r="I36" s="5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ht="15.75" customHeight="1">
      <c r="A37" s="54">
        <v>11.0</v>
      </c>
      <c r="B37" s="3" t="s">
        <v>68</v>
      </c>
      <c r="C37" s="55">
        <v>35000.0</v>
      </c>
      <c r="D37" s="55">
        <v>5000.0</v>
      </c>
      <c r="E37" s="55">
        <v>2500.0</v>
      </c>
      <c r="F37" s="55">
        <v>2500.0</v>
      </c>
      <c r="G37" s="55">
        <v>10000.0</v>
      </c>
      <c r="H37" s="36"/>
      <c r="I37" s="5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ht="15.75" customHeight="1">
      <c r="A38" s="54">
        <v>12.0</v>
      </c>
      <c r="B38" s="3" t="s">
        <v>69</v>
      </c>
      <c r="C38" s="55">
        <v>35000.0</v>
      </c>
      <c r="D38" s="55">
        <v>5000.0</v>
      </c>
      <c r="E38" s="55">
        <v>2500.0</v>
      </c>
      <c r="F38" s="55">
        <v>2500.0</v>
      </c>
      <c r="G38" s="55">
        <v>10000.0</v>
      </c>
      <c r="H38" s="36"/>
      <c r="I38" s="5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ht="15.75" customHeight="1">
      <c r="A39" s="54">
        <v>13.0</v>
      </c>
      <c r="B39" s="3" t="s">
        <v>70</v>
      </c>
      <c r="C39" s="55">
        <v>35000.0</v>
      </c>
      <c r="D39" s="55">
        <v>5000.0</v>
      </c>
      <c r="E39" s="55">
        <v>2500.0</v>
      </c>
      <c r="F39" s="55">
        <v>2500.0</v>
      </c>
      <c r="G39" s="55">
        <v>10000.0</v>
      </c>
      <c r="H39" s="36"/>
      <c r="I39" s="5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ht="15.75" customHeight="1">
      <c r="A40" s="54">
        <v>14.0</v>
      </c>
      <c r="B40" s="3" t="s">
        <v>71</v>
      </c>
      <c r="C40" s="55">
        <v>35000.0</v>
      </c>
      <c r="D40" s="55">
        <v>5000.0</v>
      </c>
      <c r="E40" s="55">
        <v>2500.0</v>
      </c>
      <c r="F40" s="55">
        <v>2500.0</v>
      </c>
      <c r="G40" s="55">
        <v>10000.0</v>
      </c>
      <c r="H40" s="36"/>
      <c r="I40" s="5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ht="15.75" customHeight="1">
      <c r="A41" s="50">
        <v>15.0</v>
      </c>
      <c r="B41" s="50" t="s">
        <v>72</v>
      </c>
      <c r="C41" s="55">
        <v>30000.0</v>
      </c>
      <c r="D41" s="55">
        <v>0.0</v>
      </c>
      <c r="E41" s="55">
        <v>0.0</v>
      </c>
      <c r="F41" s="55">
        <v>0.0</v>
      </c>
      <c r="G41" s="55">
        <v>0.0</v>
      </c>
      <c r="H41" s="36"/>
      <c r="I41" s="5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ht="15.75" customHeight="1">
      <c r="A42" s="3"/>
      <c r="B42" s="3"/>
      <c r="C42" s="36"/>
      <c r="D42" s="36"/>
      <c r="E42" s="36"/>
      <c r="F42" s="36"/>
      <c r="G42" s="36"/>
      <c r="H42" s="36"/>
      <c r="I42" s="5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ht="15.75" customHeight="1">
      <c r="A43" s="3"/>
      <c r="B43" s="3"/>
      <c r="C43" s="36"/>
      <c r="D43" s="36"/>
      <c r="E43" s="36"/>
      <c r="F43" s="36"/>
      <c r="G43" s="36"/>
      <c r="H43" s="36"/>
      <c r="I43" s="5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ht="15.75" customHeight="1">
      <c r="A44" s="3"/>
      <c r="B44" s="3"/>
      <c r="C44" s="36"/>
      <c r="D44" s="36"/>
      <c r="E44" s="36"/>
      <c r="F44" s="36"/>
      <c r="G44" s="36"/>
      <c r="H44" s="36"/>
      <c r="I44" s="5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ht="15.75" customHeight="1">
      <c r="A45" s="3"/>
      <c r="B45" s="3"/>
      <c r="C45" s="36"/>
      <c r="D45" s="36"/>
      <c r="E45" s="36"/>
      <c r="F45" s="36"/>
      <c r="G45" s="36"/>
      <c r="H45" s="36"/>
      <c r="I45" s="5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ht="15.75" customHeight="1">
      <c r="A46" s="3"/>
      <c r="B46" s="3" t="s">
        <v>74</v>
      </c>
      <c r="C46" s="36"/>
      <c r="D46" s="36"/>
      <c r="E46" s="36"/>
      <c r="F46" s="36"/>
      <c r="G46" s="36"/>
      <c r="H46" s="36"/>
      <c r="I46" s="5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ht="15.75" customHeight="1">
      <c r="A47" s="62">
        <v>1.0</v>
      </c>
      <c r="B47" s="75" t="s">
        <v>103</v>
      </c>
      <c r="C47" s="63">
        <v>35000.0</v>
      </c>
      <c r="D47" s="63">
        <v>5000.0</v>
      </c>
      <c r="E47" s="63">
        <v>2500.0</v>
      </c>
      <c r="F47" s="63">
        <v>2500.0</v>
      </c>
      <c r="G47" s="63">
        <v>10000.0</v>
      </c>
      <c r="H47" s="36"/>
      <c r="I47" s="5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ht="15.75" customHeight="1">
      <c r="A48" s="62">
        <v>2.0</v>
      </c>
      <c r="B48" s="75" t="s">
        <v>104</v>
      </c>
      <c r="C48" s="63">
        <v>35000.0</v>
      </c>
      <c r="D48" s="63">
        <v>5000.0</v>
      </c>
      <c r="E48" s="63">
        <v>2500.0</v>
      </c>
      <c r="F48" s="63">
        <v>2500.0</v>
      </c>
      <c r="G48" s="63">
        <v>10000.0</v>
      </c>
      <c r="H48" s="36"/>
      <c r="I48" s="5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ht="15.75" customHeight="1">
      <c r="A49" s="62">
        <v>3.0</v>
      </c>
      <c r="B49" s="75" t="s">
        <v>105</v>
      </c>
      <c r="C49" s="63">
        <v>35000.0</v>
      </c>
      <c r="D49" s="63">
        <v>5000.0</v>
      </c>
      <c r="E49" s="63">
        <v>2500.0</v>
      </c>
      <c r="F49" s="63">
        <v>2500.0</v>
      </c>
      <c r="G49" s="63">
        <v>10000.0</v>
      </c>
      <c r="H49" s="36"/>
      <c r="I49" s="5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ht="15.75" customHeight="1">
      <c r="A50" s="62">
        <v>4.0</v>
      </c>
      <c r="B50" s="75" t="s">
        <v>106</v>
      </c>
      <c r="C50" s="63">
        <v>35000.0</v>
      </c>
      <c r="D50" s="63">
        <v>5000.0</v>
      </c>
      <c r="E50" s="63">
        <v>2500.0</v>
      </c>
      <c r="F50" s="63">
        <v>2500.0</v>
      </c>
      <c r="G50" s="63">
        <v>10000.0</v>
      </c>
      <c r="H50" s="36"/>
      <c r="I50" s="5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ht="15.75" customHeight="1">
      <c r="A51" s="62">
        <v>5.0</v>
      </c>
      <c r="B51" s="75" t="s">
        <v>107</v>
      </c>
      <c r="C51" s="63">
        <v>35000.0</v>
      </c>
      <c r="D51" s="63">
        <v>5000.0</v>
      </c>
      <c r="E51" s="63">
        <v>2500.0</v>
      </c>
      <c r="F51" s="63">
        <v>2500.0</v>
      </c>
      <c r="G51" s="63">
        <v>10000.0</v>
      </c>
      <c r="H51" s="36"/>
      <c r="I51" s="5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ht="15.75" customHeight="1">
      <c r="A52" s="62">
        <v>6.0</v>
      </c>
      <c r="B52" s="75" t="s">
        <v>108</v>
      </c>
      <c r="C52" s="63">
        <v>35000.0</v>
      </c>
      <c r="D52" s="63">
        <v>5000.0</v>
      </c>
      <c r="E52" s="63">
        <v>2500.0</v>
      </c>
      <c r="F52" s="63">
        <v>2500.0</v>
      </c>
      <c r="G52" s="63">
        <v>10000.0</v>
      </c>
      <c r="H52" s="36"/>
      <c r="I52" s="5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ht="15.75" customHeight="1">
      <c r="A53" s="62">
        <v>7.0</v>
      </c>
      <c r="B53" s="75" t="s">
        <v>109</v>
      </c>
      <c r="C53" s="63">
        <v>35000.0</v>
      </c>
      <c r="D53" s="63">
        <v>5000.0</v>
      </c>
      <c r="E53" s="63">
        <v>2500.0</v>
      </c>
      <c r="F53" s="63">
        <v>2500.0</v>
      </c>
      <c r="G53" s="63">
        <v>10000.0</v>
      </c>
      <c r="H53" s="36"/>
      <c r="I53" s="5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ht="15.75" customHeight="1">
      <c r="A54" s="62">
        <v>8.0</v>
      </c>
      <c r="B54" s="75" t="s">
        <v>110</v>
      </c>
      <c r="C54" s="63">
        <v>35000.0</v>
      </c>
      <c r="D54" s="63">
        <v>5000.0</v>
      </c>
      <c r="E54" s="63">
        <v>2500.0</v>
      </c>
      <c r="F54" s="63">
        <v>2500.0</v>
      </c>
      <c r="G54" s="63">
        <v>10000.0</v>
      </c>
      <c r="H54" s="36"/>
      <c r="I54" s="5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ht="15.75" customHeight="1">
      <c r="A55" s="62">
        <v>9.0</v>
      </c>
      <c r="B55" s="75" t="s">
        <v>111</v>
      </c>
      <c r="C55" s="63">
        <v>35000.0</v>
      </c>
      <c r="D55" s="63">
        <v>5000.0</v>
      </c>
      <c r="E55" s="63">
        <v>2500.0</v>
      </c>
      <c r="F55" s="63">
        <v>2500.0</v>
      </c>
      <c r="G55" s="63">
        <v>10000.0</v>
      </c>
      <c r="H55" s="36"/>
      <c r="I55" s="5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ht="15.75" customHeight="1">
      <c r="A56" s="62">
        <v>10.0</v>
      </c>
      <c r="B56" s="75" t="s">
        <v>112</v>
      </c>
      <c r="C56" s="63">
        <v>35000.0</v>
      </c>
      <c r="D56" s="63">
        <v>5000.0</v>
      </c>
      <c r="E56" s="63">
        <v>2500.0</v>
      </c>
      <c r="F56" s="63">
        <v>2500.0</v>
      </c>
      <c r="G56" s="63">
        <v>10000.0</v>
      </c>
      <c r="H56" s="36"/>
      <c r="I56" s="5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ht="15.75" customHeight="1">
      <c r="A57" s="62">
        <v>11.0</v>
      </c>
      <c r="B57" s="75" t="s">
        <v>113</v>
      </c>
      <c r="C57" s="63">
        <v>35000.0</v>
      </c>
      <c r="D57" s="63">
        <v>5000.0</v>
      </c>
      <c r="E57" s="63">
        <v>2500.0</v>
      </c>
      <c r="F57" s="63">
        <v>2500.0</v>
      </c>
      <c r="G57" s="63">
        <v>10000.0</v>
      </c>
      <c r="H57" s="36"/>
      <c r="I57" s="5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ht="15.75" customHeight="1">
      <c r="A58" s="62">
        <v>12.0</v>
      </c>
      <c r="B58" s="75" t="s">
        <v>114</v>
      </c>
      <c r="C58" s="63">
        <v>35000.0</v>
      </c>
      <c r="D58" s="63">
        <v>5000.0</v>
      </c>
      <c r="E58" s="63">
        <v>2500.0</v>
      </c>
      <c r="F58" s="63">
        <v>2500.0</v>
      </c>
      <c r="G58" s="63">
        <v>10000.0</v>
      </c>
      <c r="H58" s="36"/>
      <c r="I58" s="5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ht="15.75" customHeight="1">
      <c r="A59" s="62">
        <v>13.0</v>
      </c>
      <c r="B59" s="75" t="s">
        <v>115</v>
      </c>
      <c r="C59" s="55"/>
      <c r="D59" s="55"/>
      <c r="E59" s="55"/>
      <c r="F59" s="55"/>
      <c r="G59" s="55"/>
      <c r="H59" s="36"/>
      <c r="I59" s="5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ht="15.75" customHeight="1">
      <c r="A60" s="50">
        <v>14.0</v>
      </c>
      <c r="B60" s="75" t="s">
        <v>116</v>
      </c>
      <c r="C60" s="55"/>
      <c r="D60" s="55"/>
      <c r="E60" s="55"/>
      <c r="F60" s="55"/>
      <c r="G60" s="55"/>
      <c r="H60" s="36"/>
      <c r="I60" s="5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ht="15.75" customHeight="1">
      <c r="A61" s="3"/>
      <c r="B61" s="3"/>
      <c r="C61" s="36"/>
      <c r="D61" s="36"/>
      <c r="E61" s="36"/>
      <c r="F61" s="36"/>
      <c r="G61" s="36"/>
      <c r="H61" s="36"/>
      <c r="I61" s="5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ht="15.75" customHeight="1">
      <c r="A62" s="3"/>
      <c r="B62" s="3"/>
      <c r="C62" s="36"/>
      <c r="D62" s="36"/>
      <c r="E62" s="36"/>
      <c r="F62" s="36"/>
      <c r="G62" s="36"/>
      <c r="H62" s="36"/>
      <c r="I62" s="5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ht="15.75" customHeight="1">
      <c r="A63" s="3"/>
      <c r="B63" s="3"/>
      <c r="C63" s="36"/>
      <c r="D63" s="36"/>
      <c r="E63" s="36"/>
      <c r="F63" s="36"/>
      <c r="G63" s="36"/>
      <c r="H63" s="36"/>
      <c r="I63" s="36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ht="15.75" customHeight="1">
      <c r="A64" s="3"/>
      <c r="B64" s="3" t="s">
        <v>87</v>
      </c>
      <c r="C64" s="36"/>
      <c r="D64" s="36"/>
      <c r="E64" s="36"/>
      <c r="F64" s="36"/>
      <c r="G64" s="36"/>
      <c r="H64" s="36"/>
      <c r="I64" s="5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ht="15.75" customHeight="1">
      <c r="A65" s="50">
        <v>1.0</v>
      </c>
      <c r="B65" s="50" t="s">
        <v>72</v>
      </c>
      <c r="C65" s="55">
        <v>70000.0</v>
      </c>
      <c r="D65" s="55">
        <v>10000.0</v>
      </c>
      <c r="E65" s="50">
        <v>5000.0</v>
      </c>
      <c r="F65" s="50">
        <v>5000.0</v>
      </c>
      <c r="G65" s="50">
        <v>10000.0</v>
      </c>
      <c r="H65" s="61">
        <f t="shared" ref="H65:H66" si="2">SUM(C65:G65)</f>
        <v>100000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ht="15.75" customHeight="1">
      <c r="A66" s="69">
        <v>2.0</v>
      </c>
      <c r="B66" s="50" t="s">
        <v>117</v>
      </c>
      <c r="C66" s="59">
        <v>105000.0</v>
      </c>
      <c r="D66" s="59">
        <v>15000.0</v>
      </c>
      <c r="E66" s="59">
        <v>7500.0</v>
      </c>
      <c r="F66" s="59">
        <v>7500.0</v>
      </c>
      <c r="G66" s="59">
        <v>25000.0</v>
      </c>
      <c r="H66" s="36">
        <f t="shared" si="2"/>
        <v>160000</v>
      </c>
      <c r="I66" s="56">
        <f t="shared" ref="I66:I67" si="3">SUM(C66:F66)</f>
        <v>135000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ht="15.75" customHeight="1">
      <c r="A67" s="50"/>
      <c r="B67" s="50"/>
      <c r="C67" s="76"/>
      <c r="D67" s="76"/>
      <c r="E67" s="76"/>
      <c r="F67" s="76"/>
      <c r="G67" s="76"/>
      <c r="H67" s="67"/>
      <c r="I67" s="56">
        <f t="shared" si="3"/>
        <v>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5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ht="15.75" customHeight="1">
      <c r="A69" s="3"/>
      <c r="B69" s="3"/>
      <c r="C69" s="36"/>
      <c r="D69" s="36"/>
      <c r="E69" s="36"/>
      <c r="F69" s="36"/>
      <c r="G69" s="36"/>
      <c r="H69" s="36"/>
      <c r="I69" s="5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ht="15.75" customHeight="1">
      <c r="A70" s="3"/>
      <c r="B70" s="3"/>
      <c r="C70" s="36"/>
      <c r="D70" s="36"/>
      <c r="E70" s="36"/>
      <c r="F70" s="36"/>
      <c r="G70" s="36"/>
      <c r="H70" s="36"/>
      <c r="I70" s="5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ht="15.75" customHeight="1">
      <c r="A71" s="3"/>
      <c r="B71" s="3"/>
      <c r="C71" s="36"/>
      <c r="D71" s="36"/>
      <c r="E71" s="36"/>
      <c r="F71" s="36"/>
      <c r="G71" s="36"/>
      <c r="H71" s="36"/>
      <c r="I71" s="5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ht="15.75" customHeight="1">
      <c r="A72" s="3"/>
      <c r="B72" s="3"/>
      <c r="C72" s="36"/>
      <c r="D72" s="36"/>
      <c r="E72" s="36"/>
      <c r="F72" s="36"/>
      <c r="G72" s="36"/>
      <c r="H72" s="36"/>
      <c r="I72" s="5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ht="15.75" customHeight="1">
      <c r="A73" s="3"/>
      <c r="B73" s="3"/>
      <c r="C73" s="36"/>
      <c r="D73" s="36"/>
      <c r="E73" s="36"/>
      <c r="F73" s="36"/>
      <c r="G73" s="36"/>
      <c r="H73" s="35"/>
      <c r="I73" s="5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ht="15.75" customHeight="1">
      <c r="A74" s="3"/>
      <c r="B74" s="3"/>
      <c r="C74" s="36"/>
      <c r="D74" s="36"/>
      <c r="E74" s="36"/>
      <c r="F74" s="36"/>
      <c r="G74" s="36"/>
      <c r="H74" s="35"/>
      <c r="I74" s="5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ht="15.75" customHeight="1">
      <c r="A75" s="3"/>
      <c r="B75" s="3"/>
      <c r="C75" s="36"/>
      <c r="D75" s="36"/>
      <c r="E75" s="36"/>
      <c r="F75" s="36"/>
      <c r="G75" s="36"/>
      <c r="H75" s="35"/>
      <c r="I75" s="5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ht="15.75" customHeight="1">
      <c r="A76" s="69">
        <v>2.0</v>
      </c>
      <c r="B76" s="3" t="s">
        <v>90</v>
      </c>
      <c r="C76" s="66">
        <f t="shared" ref="C76:G76" si="4">SUM(C3:C24)</f>
        <v>525000</v>
      </c>
      <c r="D76" s="66">
        <f t="shared" si="4"/>
        <v>75000</v>
      </c>
      <c r="E76" s="66">
        <f t="shared" si="4"/>
        <v>35000</v>
      </c>
      <c r="F76" s="66">
        <f t="shared" si="4"/>
        <v>35000</v>
      </c>
      <c r="G76" s="66">
        <f t="shared" si="4"/>
        <v>140000</v>
      </c>
      <c r="H76" s="66">
        <f t="shared" ref="H76:H78" si="6">SUM(C76:G76)</f>
        <v>810000</v>
      </c>
      <c r="I76" s="56">
        <f>SUM(C76:F76)</f>
        <v>670000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ht="15.75" customHeight="1">
      <c r="A77" s="69">
        <v>3.0</v>
      </c>
      <c r="B77" s="3" t="s">
        <v>91</v>
      </c>
      <c r="C77" s="70">
        <f t="shared" ref="C77:G77" si="5">SuM(C27:C44)</f>
        <v>520000</v>
      </c>
      <c r="D77" s="70">
        <f t="shared" si="5"/>
        <v>70000</v>
      </c>
      <c r="E77" s="70">
        <f t="shared" si="5"/>
        <v>35000</v>
      </c>
      <c r="F77" s="70">
        <f t="shared" si="5"/>
        <v>35000</v>
      </c>
      <c r="G77" s="70">
        <f t="shared" si="5"/>
        <v>140000</v>
      </c>
      <c r="H77" s="35">
        <f t="shared" si="6"/>
        <v>800000</v>
      </c>
      <c r="I77" s="5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ht="15.75" customHeight="1">
      <c r="A78" s="69">
        <v>4.0</v>
      </c>
      <c r="B78" s="3" t="s">
        <v>92</v>
      </c>
      <c r="C78" s="66">
        <f t="shared" ref="C78:G78" si="7">SUM(C47:C62)</f>
        <v>420000</v>
      </c>
      <c r="D78" s="66">
        <f t="shared" si="7"/>
        <v>60000</v>
      </c>
      <c r="E78" s="66">
        <f t="shared" si="7"/>
        <v>30000</v>
      </c>
      <c r="F78" s="66">
        <f t="shared" si="7"/>
        <v>30000</v>
      </c>
      <c r="G78" s="66">
        <f t="shared" si="7"/>
        <v>120000</v>
      </c>
      <c r="H78" s="66">
        <f t="shared" si="6"/>
        <v>660000</v>
      </c>
      <c r="I78" s="56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ht="15.75" customHeight="1">
      <c r="A79" s="69">
        <v>5.0</v>
      </c>
      <c r="B79" s="3" t="s">
        <v>93</v>
      </c>
      <c r="C79" s="70">
        <f>Feb!C33</f>
        <v>5949500</v>
      </c>
      <c r="D79" s="70">
        <f>Feb!C34</f>
        <v>1742000</v>
      </c>
      <c r="E79" s="70">
        <f>Feb!C35</f>
        <v>2388500</v>
      </c>
      <c r="F79" s="70">
        <f>Feb!C36</f>
        <v>1107500</v>
      </c>
      <c r="G79" s="70">
        <f>Feb!C37</f>
        <v>2743500</v>
      </c>
      <c r="H79" s="74">
        <f>Feb!C38</f>
        <v>13931000</v>
      </c>
      <c r="I79" s="5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ht="15.75" customHeight="1">
      <c r="A80" s="3"/>
      <c r="B80" s="72" t="s">
        <v>94</v>
      </c>
      <c r="C80" s="35">
        <f t="shared" ref="C80:G80" si="8">SUM(C66:C79)</f>
        <v>7519500</v>
      </c>
      <c r="D80" s="35">
        <f t="shared" si="8"/>
        <v>1962000</v>
      </c>
      <c r="E80" s="35">
        <f t="shared" si="8"/>
        <v>2496000</v>
      </c>
      <c r="F80" s="35">
        <f t="shared" si="8"/>
        <v>1215000</v>
      </c>
      <c r="G80" s="35">
        <f t="shared" si="8"/>
        <v>3168500</v>
      </c>
      <c r="H80" s="35">
        <f>SUM(C80:G80)</f>
        <v>16361000</v>
      </c>
      <c r="I80" s="5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51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51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ht="15.75" customHeight="1">
      <c r="A83" s="3"/>
      <c r="B83" s="70"/>
      <c r="C83" s="70"/>
      <c r="D83" s="70"/>
      <c r="E83" s="70"/>
      <c r="F83" s="70"/>
      <c r="G83" s="70"/>
      <c r="H83" s="70"/>
      <c r="I83" s="51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ht="15.75" customHeight="1">
      <c r="A84" s="3"/>
      <c r="B84" s="3"/>
      <c r="C84" s="70"/>
      <c r="D84" s="3"/>
      <c r="E84" s="3"/>
      <c r="F84" s="3"/>
      <c r="G84" s="3"/>
      <c r="H84" s="3"/>
      <c r="I84" s="51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51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ht="15.75" customHeight="1">
      <c r="A86" s="3"/>
      <c r="B86" s="3"/>
      <c r="C86" s="23"/>
      <c r="D86" s="3"/>
      <c r="E86" s="3"/>
      <c r="F86" s="3"/>
      <c r="G86" s="3"/>
      <c r="H86" s="3"/>
      <c r="I86" s="51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51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51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51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51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51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51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51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51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51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51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51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51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51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51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51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51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51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51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51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51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51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51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51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51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51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51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51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51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51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51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51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51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51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51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51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51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51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51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51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51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51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51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51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51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51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51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51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51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51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51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51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51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51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51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51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51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51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51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51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51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51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51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51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51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51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51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51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51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51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51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51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51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51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51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51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51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51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51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51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51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51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51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51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51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51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51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51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51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51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51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51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51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51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51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51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51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51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51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51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51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51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51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51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51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51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51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51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51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51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51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51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51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51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51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51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51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51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51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51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51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51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51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51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51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51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51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51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51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51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51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51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51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51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51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51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51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51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51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51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51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51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51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51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51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51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51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51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51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51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51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51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51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51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51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51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51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51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51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51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51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51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51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51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51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51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51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51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51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51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51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51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51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51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51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51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51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51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51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51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51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51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51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51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51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51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51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51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51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51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51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51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51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51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51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26.88"/>
    <col customWidth="1" min="3" max="3" width="14.75"/>
    <col customWidth="1" min="4" max="4" width="21.88"/>
    <col customWidth="1" min="5" max="5" width="12.63"/>
    <col customWidth="1" min="6" max="6" width="13.25"/>
    <col customWidth="1" min="9" max="9" width="14.13"/>
  </cols>
  <sheetData>
    <row r="1" ht="15.75" customHeight="1">
      <c r="A1" s="67"/>
      <c r="B1" s="67" t="s">
        <v>30</v>
      </c>
      <c r="C1" s="77" t="s">
        <v>31</v>
      </c>
      <c r="D1" s="67" t="s">
        <v>32</v>
      </c>
      <c r="E1" s="67" t="s">
        <v>33</v>
      </c>
      <c r="F1" s="67" t="s">
        <v>34</v>
      </c>
      <c r="G1" s="77" t="s">
        <v>95</v>
      </c>
      <c r="H1" s="67"/>
      <c r="I1" s="78" t="s">
        <v>36</v>
      </c>
      <c r="J1" s="67"/>
      <c r="K1" s="67"/>
      <c r="L1" s="67"/>
      <c r="M1" s="67"/>
      <c r="N1" s="67"/>
      <c r="O1" s="79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</row>
    <row r="2" ht="15.75" customHeight="1">
      <c r="A2" s="67"/>
      <c r="B2" s="67" t="s">
        <v>37</v>
      </c>
      <c r="C2" s="66"/>
      <c r="D2" s="66"/>
      <c r="E2" s="66"/>
      <c r="F2" s="66"/>
      <c r="G2" s="66"/>
      <c r="H2" s="66"/>
      <c r="I2" s="68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</row>
    <row r="3" ht="15.75" customHeight="1">
      <c r="A3" s="80">
        <v>1.0</v>
      </c>
      <c r="B3" s="67" t="s">
        <v>38</v>
      </c>
      <c r="C3" s="55">
        <v>35000.0</v>
      </c>
      <c r="D3" s="55">
        <v>5000.0</v>
      </c>
      <c r="E3" s="55">
        <v>2500.0</v>
      </c>
      <c r="F3" s="55">
        <v>2500.0</v>
      </c>
      <c r="G3" s="55">
        <v>10000.0</v>
      </c>
      <c r="H3" s="66"/>
      <c r="I3" s="56">
        <f t="shared" ref="I3:I21" si="1">SUM(C3:F3)</f>
        <v>45000</v>
      </c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</row>
    <row r="4" ht="15.75" customHeight="1">
      <c r="A4" s="80">
        <v>2.0</v>
      </c>
      <c r="B4" s="67" t="s">
        <v>39</v>
      </c>
      <c r="C4" s="55">
        <v>35000.0</v>
      </c>
      <c r="D4" s="55">
        <v>5000.0</v>
      </c>
      <c r="E4" s="55">
        <v>2500.0</v>
      </c>
      <c r="F4" s="55">
        <v>2500.0</v>
      </c>
      <c r="G4" s="55">
        <v>10000.0</v>
      </c>
      <c r="H4" s="66"/>
      <c r="I4" s="56">
        <f t="shared" si="1"/>
        <v>45000</v>
      </c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</row>
    <row r="5" ht="15.75" customHeight="1">
      <c r="A5" s="80">
        <v>3.0</v>
      </c>
      <c r="B5" s="67" t="s">
        <v>40</v>
      </c>
      <c r="C5" s="55">
        <v>35000.0</v>
      </c>
      <c r="D5" s="55">
        <v>5000.0</v>
      </c>
      <c r="E5" s="55">
        <v>2500.0</v>
      </c>
      <c r="F5" s="55">
        <v>2500.0</v>
      </c>
      <c r="G5" s="55">
        <v>10000.0</v>
      </c>
      <c r="H5" s="66"/>
      <c r="I5" s="56">
        <f t="shared" si="1"/>
        <v>45000</v>
      </c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</row>
    <row r="6" ht="15.75" customHeight="1">
      <c r="A6" s="80">
        <v>4.0</v>
      </c>
      <c r="B6" s="67" t="s">
        <v>41</v>
      </c>
      <c r="C6" s="55">
        <v>35000.0</v>
      </c>
      <c r="D6" s="55">
        <v>5000.0</v>
      </c>
      <c r="E6" s="55">
        <v>2500.0</v>
      </c>
      <c r="F6" s="55">
        <v>2500.0</v>
      </c>
      <c r="G6" s="55">
        <v>10000.0</v>
      </c>
      <c r="H6" s="66"/>
      <c r="I6" s="56">
        <f t="shared" si="1"/>
        <v>45000</v>
      </c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</row>
    <row r="7" ht="15.75" customHeight="1">
      <c r="A7" s="80">
        <v>5.0</v>
      </c>
      <c r="B7" s="67" t="s">
        <v>42</v>
      </c>
      <c r="C7" s="55">
        <v>35000.0</v>
      </c>
      <c r="D7" s="55">
        <v>5000.0</v>
      </c>
      <c r="E7" s="55">
        <v>2500.0</v>
      </c>
      <c r="F7" s="55">
        <v>2500.0</v>
      </c>
      <c r="G7" s="55">
        <v>10000.0</v>
      </c>
      <c r="H7" s="66"/>
      <c r="I7" s="56">
        <f t="shared" si="1"/>
        <v>45000</v>
      </c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</row>
    <row r="8" ht="15.75" customHeight="1">
      <c r="A8" s="80">
        <v>6.0</v>
      </c>
      <c r="B8" s="67" t="s">
        <v>43</v>
      </c>
      <c r="C8" s="55">
        <v>70000.0</v>
      </c>
      <c r="D8" s="55">
        <v>10000.0</v>
      </c>
      <c r="E8" s="55">
        <v>2500.0</v>
      </c>
      <c r="F8" s="55">
        <v>2500.0</v>
      </c>
      <c r="G8" s="55">
        <v>10000.0</v>
      </c>
      <c r="H8" s="66"/>
      <c r="I8" s="56">
        <f t="shared" si="1"/>
        <v>85000</v>
      </c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</row>
    <row r="9" ht="15.75" customHeight="1">
      <c r="A9" s="80">
        <v>7.0</v>
      </c>
      <c r="B9" s="67" t="s">
        <v>44</v>
      </c>
      <c r="C9" s="55">
        <v>35000.0</v>
      </c>
      <c r="D9" s="55">
        <v>5000.0</v>
      </c>
      <c r="E9" s="55">
        <v>2500.0</v>
      </c>
      <c r="F9" s="55">
        <v>2500.0</v>
      </c>
      <c r="G9" s="55">
        <v>10000.0</v>
      </c>
      <c r="H9" s="66"/>
      <c r="I9" s="56">
        <f t="shared" si="1"/>
        <v>45000</v>
      </c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81"/>
      <c r="Z9" s="67"/>
      <c r="AA9" s="67"/>
      <c r="AB9" s="67"/>
      <c r="AC9" s="67"/>
    </row>
    <row r="10" ht="15.75" customHeight="1">
      <c r="A10" s="80">
        <v>8.0</v>
      </c>
      <c r="B10" s="67" t="s">
        <v>45</v>
      </c>
      <c r="C10" s="55">
        <v>35000.0</v>
      </c>
      <c r="D10" s="55">
        <v>5000.0</v>
      </c>
      <c r="E10" s="55">
        <v>2500.0</v>
      </c>
      <c r="F10" s="55">
        <v>2500.0</v>
      </c>
      <c r="G10" s="55">
        <v>10000.0</v>
      </c>
      <c r="H10" s="66"/>
      <c r="I10" s="56">
        <f t="shared" si="1"/>
        <v>45000</v>
      </c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</row>
    <row r="11" ht="15.75" customHeight="1">
      <c r="A11" s="80">
        <v>9.0</v>
      </c>
      <c r="B11" s="67" t="s">
        <v>46</v>
      </c>
      <c r="C11" s="55">
        <v>35000.0</v>
      </c>
      <c r="D11" s="55">
        <v>5000.0</v>
      </c>
      <c r="E11" s="55">
        <v>2500.0</v>
      </c>
      <c r="F11" s="55">
        <v>2500.0</v>
      </c>
      <c r="G11" s="55">
        <v>10000.0</v>
      </c>
      <c r="H11" s="66"/>
      <c r="I11" s="56">
        <f t="shared" si="1"/>
        <v>45000</v>
      </c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</row>
    <row r="12" ht="15.75" customHeight="1">
      <c r="A12" s="80">
        <v>10.0</v>
      </c>
      <c r="B12" s="67" t="s">
        <v>47</v>
      </c>
      <c r="C12" s="55">
        <v>35000.0</v>
      </c>
      <c r="D12" s="55">
        <v>5000.0</v>
      </c>
      <c r="E12" s="55">
        <v>2500.0</v>
      </c>
      <c r="F12" s="55">
        <v>2500.0</v>
      </c>
      <c r="G12" s="55">
        <v>10000.0</v>
      </c>
      <c r="H12" s="66"/>
      <c r="I12" s="56">
        <f t="shared" si="1"/>
        <v>45000</v>
      </c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</row>
    <row r="13" ht="15.75" customHeight="1">
      <c r="A13" s="80">
        <v>11.0</v>
      </c>
      <c r="B13" s="67" t="s">
        <v>48</v>
      </c>
      <c r="C13" s="55">
        <v>35000.0</v>
      </c>
      <c r="D13" s="55">
        <v>5000.0</v>
      </c>
      <c r="E13" s="55">
        <v>2500.0</v>
      </c>
      <c r="F13" s="55">
        <v>2500.0</v>
      </c>
      <c r="G13" s="55">
        <v>10000.0</v>
      </c>
      <c r="H13" s="66"/>
      <c r="I13" s="56">
        <f t="shared" si="1"/>
        <v>45000</v>
      </c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</row>
    <row r="14" ht="15.75" customHeight="1">
      <c r="A14" s="80">
        <v>12.0</v>
      </c>
      <c r="B14" s="67" t="s">
        <v>49</v>
      </c>
      <c r="C14" s="58">
        <v>0.0</v>
      </c>
      <c r="D14" s="59">
        <v>0.0</v>
      </c>
      <c r="E14" s="59">
        <v>0.0</v>
      </c>
      <c r="F14" s="59">
        <v>0.0</v>
      </c>
      <c r="G14" s="59">
        <v>0.0</v>
      </c>
      <c r="H14" s="66"/>
      <c r="I14" s="56">
        <f t="shared" si="1"/>
        <v>0</v>
      </c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</row>
    <row r="15" ht="15.75" customHeight="1">
      <c r="A15" s="80">
        <v>13.0</v>
      </c>
      <c r="B15" s="67" t="s">
        <v>50</v>
      </c>
      <c r="C15" s="55">
        <v>35000.0</v>
      </c>
      <c r="D15" s="55">
        <v>5000.0</v>
      </c>
      <c r="E15" s="55">
        <v>2500.0</v>
      </c>
      <c r="F15" s="55">
        <v>2500.0</v>
      </c>
      <c r="G15" s="55">
        <v>10000.0</v>
      </c>
      <c r="H15" s="66"/>
      <c r="I15" s="56">
        <f t="shared" si="1"/>
        <v>45000</v>
      </c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</row>
    <row r="16" ht="15.75" customHeight="1">
      <c r="A16" s="80">
        <v>14.0</v>
      </c>
      <c r="B16" s="67" t="s">
        <v>51</v>
      </c>
      <c r="C16" s="55">
        <v>35000.0</v>
      </c>
      <c r="D16" s="55">
        <v>5000.0</v>
      </c>
      <c r="E16" s="55">
        <v>2500.0</v>
      </c>
      <c r="F16" s="55">
        <v>2500.0</v>
      </c>
      <c r="G16" s="55">
        <v>10000.0</v>
      </c>
      <c r="H16" s="66"/>
      <c r="I16" s="56">
        <f t="shared" si="1"/>
        <v>45000</v>
      </c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</row>
    <row r="17" ht="15.75" customHeight="1">
      <c r="A17" s="80">
        <v>15.0</v>
      </c>
      <c r="B17" s="67" t="s">
        <v>96</v>
      </c>
      <c r="C17" s="58">
        <v>0.0</v>
      </c>
      <c r="D17" s="59">
        <v>0.0</v>
      </c>
      <c r="E17" s="59">
        <v>0.0</v>
      </c>
      <c r="F17" s="59">
        <v>0.0</v>
      </c>
      <c r="G17" s="59">
        <v>0.0</v>
      </c>
      <c r="H17" s="66"/>
      <c r="I17" s="56">
        <f t="shared" si="1"/>
        <v>0</v>
      </c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</row>
    <row r="18" ht="15.75" customHeight="1">
      <c r="A18" s="80">
        <v>16.0</v>
      </c>
      <c r="B18" s="67" t="s">
        <v>53</v>
      </c>
      <c r="C18" s="58">
        <v>0.0</v>
      </c>
      <c r="D18" s="59">
        <v>0.0</v>
      </c>
      <c r="E18" s="59">
        <v>0.0</v>
      </c>
      <c r="F18" s="59">
        <v>0.0</v>
      </c>
      <c r="G18" s="59">
        <v>0.0</v>
      </c>
      <c r="H18" s="66"/>
      <c r="I18" s="56">
        <f t="shared" si="1"/>
        <v>0</v>
      </c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</row>
    <row r="19" ht="15.75" customHeight="1">
      <c r="A19" s="80">
        <v>17.0</v>
      </c>
      <c r="B19" s="67" t="s">
        <v>54</v>
      </c>
      <c r="C19" s="55">
        <v>35000.0</v>
      </c>
      <c r="D19" s="55">
        <v>5000.0</v>
      </c>
      <c r="E19" s="55">
        <v>2500.0</v>
      </c>
      <c r="F19" s="55">
        <v>2500.0</v>
      </c>
      <c r="G19" s="55">
        <v>10000.0</v>
      </c>
      <c r="H19" s="66"/>
      <c r="I19" s="56">
        <f t="shared" si="1"/>
        <v>45000</v>
      </c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</row>
    <row r="20" ht="15.75" customHeight="1">
      <c r="A20" s="80">
        <v>18.0</v>
      </c>
      <c r="B20" s="77" t="s">
        <v>97</v>
      </c>
      <c r="C20" s="58">
        <v>0.0</v>
      </c>
      <c r="D20" s="59">
        <v>0.0</v>
      </c>
      <c r="E20" s="59">
        <v>0.0</v>
      </c>
      <c r="F20" s="59">
        <v>0.0</v>
      </c>
      <c r="G20" s="59">
        <v>0.0</v>
      </c>
      <c r="H20" s="66"/>
      <c r="I20" s="56">
        <f t="shared" si="1"/>
        <v>0</v>
      </c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</row>
    <row r="21" ht="15.75" customHeight="1">
      <c r="A21" s="80">
        <v>19.0</v>
      </c>
      <c r="B21" s="67" t="s">
        <v>56</v>
      </c>
      <c r="C21" s="55">
        <v>35000.0</v>
      </c>
      <c r="D21" s="55">
        <v>5000.0</v>
      </c>
      <c r="E21" s="55">
        <v>2500.0</v>
      </c>
      <c r="F21" s="55">
        <v>2500.0</v>
      </c>
      <c r="G21" s="55">
        <v>10000.0</v>
      </c>
      <c r="H21" s="66"/>
      <c r="I21" s="56">
        <f t="shared" si="1"/>
        <v>45000</v>
      </c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</row>
    <row r="22" ht="15.75" customHeight="1">
      <c r="A22" s="67"/>
      <c r="B22" s="67"/>
      <c r="C22" s="66"/>
      <c r="D22" s="66"/>
      <c r="E22" s="66"/>
      <c r="F22" s="66"/>
      <c r="G22" s="66"/>
      <c r="H22" s="66"/>
      <c r="I22" s="68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</row>
    <row r="23" ht="15.75" customHeight="1">
      <c r="A23" s="67"/>
      <c r="B23" s="67"/>
      <c r="C23" s="66"/>
      <c r="D23" s="66"/>
      <c r="E23" s="66"/>
      <c r="F23" s="66"/>
      <c r="G23" s="66"/>
      <c r="H23" s="66"/>
      <c r="I23" s="68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</row>
    <row r="24" ht="15.75" customHeight="1">
      <c r="A24" s="67"/>
      <c r="B24" s="67"/>
      <c r="C24" s="66"/>
      <c r="D24" s="66"/>
      <c r="E24" s="66"/>
      <c r="F24" s="66"/>
      <c r="G24" s="66"/>
      <c r="H24" s="66"/>
      <c r="I24" s="68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</row>
    <row r="25" ht="15.75" customHeight="1">
      <c r="A25" s="67"/>
      <c r="B25" s="67"/>
      <c r="C25" s="66"/>
      <c r="D25" s="66"/>
      <c r="E25" s="66"/>
      <c r="F25" s="66"/>
      <c r="G25" s="66"/>
      <c r="H25" s="66"/>
      <c r="I25" s="68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</row>
    <row r="26" ht="15.75" customHeight="1">
      <c r="A26" s="67"/>
      <c r="B26" s="67" t="s">
        <v>57</v>
      </c>
      <c r="C26" s="66"/>
      <c r="D26" s="66"/>
      <c r="E26" s="66"/>
      <c r="F26" s="66"/>
      <c r="G26" s="66"/>
      <c r="H26" s="66"/>
      <c r="I26" s="68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</row>
    <row r="27" ht="15.75" customHeight="1">
      <c r="A27" s="80">
        <v>1.0</v>
      </c>
      <c r="B27" s="67" t="s">
        <v>58</v>
      </c>
      <c r="C27" s="55">
        <v>35000.0</v>
      </c>
      <c r="D27" s="55">
        <v>5000.0</v>
      </c>
      <c r="E27" s="55">
        <v>2500.0</v>
      </c>
      <c r="F27" s="55">
        <v>2500.0</v>
      </c>
      <c r="G27" s="55">
        <v>10000.0</v>
      </c>
      <c r="H27" s="66"/>
      <c r="I27" s="68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</row>
    <row r="28" ht="15.75" customHeight="1">
      <c r="A28" s="80">
        <v>2.0</v>
      </c>
      <c r="B28" s="67" t="s">
        <v>59</v>
      </c>
      <c r="C28" s="55">
        <v>35000.0</v>
      </c>
      <c r="D28" s="55">
        <v>5000.0</v>
      </c>
      <c r="E28" s="55">
        <v>2500.0</v>
      </c>
      <c r="F28" s="55">
        <v>2500.0</v>
      </c>
      <c r="G28" s="55">
        <v>10000.0</v>
      </c>
      <c r="H28" s="66"/>
      <c r="I28" s="68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</row>
    <row r="29" ht="15.75" customHeight="1">
      <c r="A29" s="80">
        <v>3.0</v>
      </c>
      <c r="B29" s="67" t="s">
        <v>60</v>
      </c>
      <c r="C29" s="55">
        <v>35000.0</v>
      </c>
      <c r="D29" s="55">
        <v>5000.0</v>
      </c>
      <c r="E29" s="55">
        <v>2500.0</v>
      </c>
      <c r="F29" s="55">
        <v>2500.0</v>
      </c>
      <c r="G29" s="55">
        <v>10000.0</v>
      </c>
      <c r="H29" s="66"/>
      <c r="I29" s="68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</row>
    <row r="30" ht="15.75" customHeight="1">
      <c r="A30" s="80">
        <v>4.0</v>
      </c>
      <c r="B30" s="67" t="s">
        <v>61</v>
      </c>
      <c r="C30" s="55">
        <v>35000.0</v>
      </c>
      <c r="D30" s="55">
        <v>5000.0</v>
      </c>
      <c r="E30" s="55">
        <v>2500.0</v>
      </c>
      <c r="F30" s="55">
        <v>2500.0</v>
      </c>
      <c r="G30" s="55">
        <v>10000.0</v>
      </c>
      <c r="H30" s="66"/>
      <c r="I30" s="68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</row>
    <row r="31" ht="15.75" customHeight="1">
      <c r="A31" s="80">
        <v>5.0</v>
      </c>
      <c r="B31" s="67" t="s">
        <v>62</v>
      </c>
      <c r="C31" s="55">
        <v>35000.0</v>
      </c>
      <c r="D31" s="55">
        <v>5000.0</v>
      </c>
      <c r="E31" s="55">
        <v>2500.0</v>
      </c>
      <c r="F31" s="55">
        <v>2500.0</v>
      </c>
      <c r="G31" s="55">
        <v>10000.0</v>
      </c>
      <c r="H31" s="66"/>
      <c r="I31" s="68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</row>
    <row r="32" ht="15.75" customHeight="1">
      <c r="A32" s="80">
        <v>6.0</v>
      </c>
      <c r="B32" s="67" t="s">
        <v>63</v>
      </c>
      <c r="C32" s="55">
        <v>35000.0</v>
      </c>
      <c r="D32" s="55">
        <v>5000.0</v>
      </c>
      <c r="E32" s="55">
        <v>2500.0</v>
      </c>
      <c r="F32" s="55">
        <v>2500.0</v>
      </c>
      <c r="G32" s="55">
        <v>10000.0</v>
      </c>
      <c r="H32" s="66"/>
      <c r="I32" s="68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</row>
    <row r="33" ht="15.75" customHeight="1">
      <c r="A33" s="80">
        <v>7.0</v>
      </c>
      <c r="B33" s="67" t="s">
        <v>64</v>
      </c>
      <c r="C33" s="55">
        <v>35000.0</v>
      </c>
      <c r="D33" s="55">
        <v>5000.0</v>
      </c>
      <c r="E33" s="55">
        <v>2500.0</v>
      </c>
      <c r="F33" s="55">
        <v>2500.0</v>
      </c>
      <c r="G33" s="55">
        <v>10000.0</v>
      </c>
      <c r="H33" s="66"/>
      <c r="I33" s="68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</row>
    <row r="34" ht="15.75" customHeight="1">
      <c r="A34" s="80">
        <v>8.0</v>
      </c>
      <c r="B34" s="67" t="s">
        <v>65</v>
      </c>
      <c r="C34" s="55">
        <v>35000.0</v>
      </c>
      <c r="D34" s="55">
        <v>5000.0</v>
      </c>
      <c r="E34" s="55">
        <v>2500.0</v>
      </c>
      <c r="F34" s="55">
        <v>2500.0</v>
      </c>
      <c r="G34" s="55">
        <v>10000.0</v>
      </c>
      <c r="H34" s="66"/>
      <c r="I34" s="68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</row>
    <row r="35" ht="15.75" customHeight="1">
      <c r="A35" s="80">
        <v>9.0</v>
      </c>
      <c r="B35" s="67" t="s">
        <v>66</v>
      </c>
      <c r="C35" s="55">
        <v>35000.0</v>
      </c>
      <c r="D35" s="55">
        <v>5000.0</v>
      </c>
      <c r="E35" s="55">
        <v>2500.0</v>
      </c>
      <c r="F35" s="55">
        <v>2500.0</v>
      </c>
      <c r="G35" s="55">
        <v>10000.0</v>
      </c>
      <c r="H35" s="66"/>
      <c r="I35" s="68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</row>
    <row r="36" ht="15.75" customHeight="1">
      <c r="A36" s="80">
        <v>10.0</v>
      </c>
      <c r="B36" s="67" t="s">
        <v>67</v>
      </c>
      <c r="C36" s="55">
        <v>35000.0</v>
      </c>
      <c r="D36" s="55">
        <v>5000.0</v>
      </c>
      <c r="E36" s="55">
        <v>2500.0</v>
      </c>
      <c r="F36" s="55">
        <v>2500.0</v>
      </c>
      <c r="G36" s="55">
        <v>10000.0</v>
      </c>
      <c r="H36" s="66"/>
      <c r="I36" s="68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</row>
    <row r="37" ht="15.75" customHeight="1">
      <c r="A37" s="80">
        <v>11.0</v>
      </c>
      <c r="B37" s="67" t="s">
        <v>68</v>
      </c>
      <c r="C37" s="55">
        <v>35000.0</v>
      </c>
      <c r="D37" s="55">
        <v>5000.0</v>
      </c>
      <c r="E37" s="55">
        <v>2500.0</v>
      </c>
      <c r="F37" s="55">
        <v>2500.0</v>
      </c>
      <c r="G37" s="55">
        <v>10000.0</v>
      </c>
      <c r="H37" s="66"/>
      <c r="I37" s="68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</row>
    <row r="38" ht="15.75" customHeight="1">
      <c r="A38" s="80">
        <v>12.0</v>
      </c>
      <c r="B38" s="67" t="s">
        <v>69</v>
      </c>
      <c r="C38" s="55">
        <v>35000.0</v>
      </c>
      <c r="D38" s="55">
        <v>5000.0</v>
      </c>
      <c r="E38" s="55">
        <v>2500.0</v>
      </c>
      <c r="F38" s="55">
        <v>2500.0</v>
      </c>
      <c r="G38" s="55">
        <v>10000.0</v>
      </c>
      <c r="H38" s="66"/>
      <c r="I38" s="68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</row>
    <row r="39" ht="15.75" customHeight="1">
      <c r="A39" s="80">
        <v>13.0</v>
      </c>
      <c r="B39" s="67" t="s">
        <v>70</v>
      </c>
      <c r="C39" s="55">
        <v>35000.0</v>
      </c>
      <c r="D39" s="55">
        <v>5000.0</v>
      </c>
      <c r="E39" s="55">
        <v>2500.0</v>
      </c>
      <c r="F39" s="55">
        <v>2500.0</v>
      </c>
      <c r="G39" s="55">
        <v>10000.0</v>
      </c>
      <c r="H39" s="66"/>
      <c r="I39" s="68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</row>
    <row r="40" ht="15.75" customHeight="1">
      <c r="A40" s="80">
        <v>14.0</v>
      </c>
      <c r="B40" s="67" t="s">
        <v>71</v>
      </c>
      <c r="C40" s="55">
        <v>35000.0</v>
      </c>
      <c r="D40" s="55">
        <v>5000.0</v>
      </c>
      <c r="E40" s="55">
        <v>2500.0</v>
      </c>
      <c r="F40" s="55">
        <v>2500.0</v>
      </c>
      <c r="G40" s="55">
        <v>10000.0</v>
      </c>
      <c r="H40" s="66"/>
      <c r="I40" s="68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</row>
    <row r="41" ht="15.75" customHeight="1">
      <c r="A41" s="77">
        <v>15.0</v>
      </c>
      <c r="B41" s="77" t="s">
        <v>118</v>
      </c>
      <c r="C41" s="55">
        <v>30000.0</v>
      </c>
      <c r="D41" s="55">
        <v>5000.0</v>
      </c>
      <c r="E41" s="55">
        <v>2500.0</v>
      </c>
      <c r="F41" s="55">
        <v>2500.0</v>
      </c>
      <c r="G41" s="55">
        <v>10000.0</v>
      </c>
      <c r="H41" s="66"/>
      <c r="I41" s="68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</row>
    <row r="42" ht="15.75" customHeight="1">
      <c r="A42" s="67"/>
      <c r="B42" s="67"/>
      <c r="C42" s="66"/>
      <c r="D42" s="66"/>
      <c r="E42" s="66"/>
      <c r="F42" s="66"/>
      <c r="G42" s="66"/>
      <c r="H42" s="66"/>
      <c r="I42" s="68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</row>
    <row r="43" ht="15.75" customHeight="1">
      <c r="A43" s="67"/>
      <c r="B43" s="67"/>
      <c r="C43" s="66"/>
      <c r="D43" s="66"/>
      <c r="E43" s="66"/>
      <c r="F43" s="66"/>
      <c r="G43" s="66"/>
      <c r="H43" s="66"/>
      <c r="I43" s="68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</row>
    <row r="44" ht="15.75" customHeight="1">
      <c r="A44" s="67"/>
      <c r="B44" s="67"/>
      <c r="C44" s="66"/>
      <c r="D44" s="66"/>
      <c r="E44" s="66"/>
      <c r="F44" s="66"/>
      <c r="G44" s="66"/>
      <c r="H44" s="66"/>
      <c r="I44" s="68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</row>
    <row r="45" ht="15.75" customHeight="1">
      <c r="A45" s="67"/>
      <c r="B45" s="67"/>
      <c r="C45" s="66"/>
      <c r="D45" s="66"/>
      <c r="E45" s="66"/>
      <c r="F45" s="66"/>
      <c r="G45" s="66"/>
      <c r="H45" s="66"/>
      <c r="I45" s="68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</row>
    <row r="46" ht="15.75" customHeight="1">
      <c r="A46" s="67"/>
      <c r="B46" s="67" t="s">
        <v>74</v>
      </c>
      <c r="C46" s="66"/>
      <c r="D46" s="66"/>
      <c r="E46" s="66"/>
      <c r="F46" s="66"/>
      <c r="G46" s="66"/>
      <c r="H46" s="66"/>
      <c r="I46" s="68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</row>
    <row r="47" ht="15.75" customHeight="1">
      <c r="A47" s="62">
        <v>1.0</v>
      </c>
      <c r="B47" s="75" t="s">
        <v>103</v>
      </c>
      <c r="C47" s="63">
        <v>35000.0</v>
      </c>
      <c r="D47" s="63">
        <v>5000.0</v>
      </c>
      <c r="E47" s="63">
        <v>2500.0</v>
      </c>
      <c r="F47" s="63">
        <v>2500.0</v>
      </c>
      <c r="G47" s="63">
        <v>10000.0</v>
      </c>
      <c r="H47" s="66"/>
      <c r="I47" s="68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</row>
    <row r="48" ht="15.75" customHeight="1">
      <c r="A48" s="62">
        <v>2.0</v>
      </c>
      <c r="B48" s="75" t="s">
        <v>104</v>
      </c>
      <c r="C48" s="63">
        <v>35000.0</v>
      </c>
      <c r="D48" s="63">
        <v>5000.0</v>
      </c>
      <c r="E48" s="63">
        <v>2500.0</v>
      </c>
      <c r="F48" s="63">
        <v>2500.0</v>
      </c>
      <c r="G48" s="63">
        <v>10000.0</v>
      </c>
      <c r="H48" s="66"/>
      <c r="I48" s="68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</row>
    <row r="49" ht="15.75" customHeight="1">
      <c r="A49" s="62">
        <v>3.0</v>
      </c>
      <c r="B49" s="75" t="s">
        <v>105</v>
      </c>
      <c r="C49" s="63">
        <v>35000.0</v>
      </c>
      <c r="D49" s="63">
        <v>5000.0</v>
      </c>
      <c r="E49" s="63">
        <v>2500.0</v>
      </c>
      <c r="F49" s="63">
        <v>2500.0</v>
      </c>
      <c r="G49" s="63">
        <v>10000.0</v>
      </c>
      <c r="H49" s="66"/>
      <c r="I49" s="68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</row>
    <row r="50" ht="15.75" customHeight="1">
      <c r="A50" s="62">
        <v>4.0</v>
      </c>
      <c r="B50" s="75" t="s">
        <v>106</v>
      </c>
      <c r="C50" s="63">
        <v>35000.0</v>
      </c>
      <c r="D50" s="63">
        <v>5000.0</v>
      </c>
      <c r="E50" s="63">
        <v>2500.0</v>
      </c>
      <c r="F50" s="63">
        <v>2500.0</v>
      </c>
      <c r="G50" s="63">
        <v>10000.0</v>
      </c>
      <c r="H50" s="66"/>
      <c r="I50" s="68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</row>
    <row r="51" ht="15.75" customHeight="1">
      <c r="A51" s="62">
        <v>5.0</v>
      </c>
      <c r="B51" s="75" t="s">
        <v>107</v>
      </c>
      <c r="C51" s="63">
        <v>35000.0</v>
      </c>
      <c r="D51" s="63">
        <v>5000.0</v>
      </c>
      <c r="E51" s="63">
        <v>2500.0</v>
      </c>
      <c r="F51" s="63">
        <v>2500.0</v>
      </c>
      <c r="G51" s="63">
        <v>10000.0</v>
      </c>
      <c r="H51" s="66"/>
      <c r="I51" s="68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</row>
    <row r="52" ht="15.75" customHeight="1">
      <c r="A52" s="62">
        <v>6.0</v>
      </c>
      <c r="B52" s="75" t="s">
        <v>108</v>
      </c>
      <c r="C52" s="63">
        <v>35000.0</v>
      </c>
      <c r="D52" s="63">
        <v>5000.0</v>
      </c>
      <c r="E52" s="63">
        <v>2500.0</v>
      </c>
      <c r="F52" s="63">
        <v>2500.0</v>
      </c>
      <c r="G52" s="63">
        <v>10000.0</v>
      </c>
      <c r="H52" s="66"/>
      <c r="I52" s="68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</row>
    <row r="53" ht="15.75" customHeight="1">
      <c r="A53" s="62">
        <v>7.0</v>
      </c>
      <c r="B53" s="75" t="s">
        <v>109</v>
      </c>
      <c r="C53" s="63">
        <v>35000.0</v>
      </c>
      <c r="D53" s="63">
        <v>5000.0</v>
      </c>
      <c r="E53" s="63">
        <v>2500.0</v>
      </c>
      <c r="F53" s="63">
        <v>2500.0</v>
      </c>
      <c r="G53" s="63">
        <v>10000.0</v>
      </c>
      <c r="H53" s="66"/>
      <c r="I53" s="68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</row>
    <row r="54" ht="15.75" customHeight="1">
      <c r="A54" s="62">
        <v>8.0</v>
      </c>
      <c r="B54" s="75" t="s">
        <v>110</v>
      </c>
      <c r="C54" s="63">
        <v>35000.0</v>
      </c>
      <c r="D54" s="63">
        <v>5000.0</v>
      </c>
      <c r="E54" s="63">
        <v>2500.0</v>
      </c>
      <c r="F54" s="63">
        <v>2500.0</v>
      </c>
      <c r="G54" s="63">
        <v>10000.0</v>
      </c>
      <c r="H54" s="66"/>
      <c r="I54" s="68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</row>
    <row r="55" ht="15.75" customHeight="1">
      <c r="A55" s="62">
        <v>9.0</v>
      </c>
      <c r="B55" s="75" t="s">
        <v>111</v>
      </c>
      <c r="C55" s="63">
        <v>35000.0</v>
      </c>
      <c r="D55" s="63">
        <v>5000.0</v>
      </c>
      <c r="E55" s="63">
        <v>2500.0</v>
      </c>
      <c r="F55" s="63">
        <v>2500.0</v>
      </c>
      <c r="G55" s="63">
        <v>10000.0</v>
      </c>
      <c r="H55" s="66"/>
      <c r="I55" s="68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</row>
    <row r="56" ht="15.75" customHeight="1">
      <c r="A56" s="62">
        <v>10.0</v>
      </c>
      <c r="B56" s="75" t="s">
        <v>112</v>
      </c>
      <c r="C56" s="63">
        <v>35000.0</v>
      </c>
      <c r="D56" s="63">
        <v>5000.0</v>
      </c>
      <c r="E56" s="63">
        <v>2500.0</v>
      </c>
      <c r="F56" s="63">
        <v>2500.0</v>
      </c>
      <c r="G56" s="63">
        <v>10000.0</v>
      </c>
      <c r="H56" s="66"/>
      <c r="I56" s="68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</row>
    <row r="57" ht="15.75" customHeight="1">
      <c r="A57" s="62">
        <v>11.0</v>
      </c>
      <c r="B57" s="75" t="s">
        <v>113</v>
      </c>
      <c r="C57" s="63">
        <v>35000.0</v>
      </c>
      <c r="D57" s="63">
        <v>5000.0</v>
      </c>
      <c r="E57" s="63">
        <v>2500.0</v>
      </c>
      <c r="F57" s="63">
        <v>2500.0</v>
      </c>
      <c r="G57" s="63">
        <v>10000.0</v>
      </c>
      <c r="H57" s="66"/>
      <c r="I57" s="68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</row>
    <row r="58" ht="15.75" customHeight="1">
      <c r="A58" s="62">
        <v>12.0</v>
      </c>
      <c r="B58" s="75" t="s">
        <v>114</v>
      </c>
      <c r="C58" s="63">
        <v>35000.0</v>
      </c>
      <c r="D58" s="63">
        <v>5000.0</v>
      </c>
      <c r="E58" s="63">
        <v>2500.0</v>
      </c>
      <c r="F58" s="63">
        <v>2500.0</v>
      </c>
      <c r="G58" s="63">
        <v>10000.0</v>
      </c>
      <c r="H58" s="66"/>
      <c r="I58" s="68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</row>
    <row r="59" ht="15.75" customHeight="1">
      <c r="A59" s="62">
        <v>13.0</v>
      </c>
      <c r="B59" s="75" t="s">
        <v>115</v>
      </c>
      <c r="C59" s="55"/>
      <c r="D59" s="55"/>
      <c r="E59" s="55"/>
      <c r="F59" s="55"/>
      <c r="G59" s="55"/>
      <c r="H59" s="66"/>
      <c r="I59" s="68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</row>
    <row r="60" ht="15.75" customHeight="1">
      <c r="A60" s="50">
        <v>14.0</v>
      </c>
      <c r="B60" s="75" t="s">
        <v>116</v>
      </c>
      <c r="C60" s="55"/>
      <c r="D60" s="55"/>
      <c r="E60" s="55"/>
      <c r="F60" s="55"/>
      <c r="G60" s="55"/>
      <c r="H60" s="66"/>
      <c r="I60" s="68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</row>
    <row r="61" ht="15.75" customHeight="1">
      <c r="A61" s="67"/>
      <c r="B61" s="67"/>
      <c r="C61" s="66"/>
      <c r="D61" s="66"/>
      <c r="E61" s="66"/>
      <c r="F61" s="66"/>
      <c r="G61" s="66"/>
      <c r="H61" s="66"/>
      <c r="I61" s="68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</row>
    <row r="62" ht="15.75" customHeight="1">
      <c r="A62" s="67"/>
      <c r="B62" s="67"/>
      <c r="C62" s="66"/>
      <c r="D62" s="66"/>
      <c r="E62" s="66"/>
      <c r="F62" s="66"/>
      <c r="G62" s="66"/>
      <c r="H62" s="66"/>
      <c r="I62" s="68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</row>
    <row r="63" ht="15.75" customHeight="1">
      <c r="A63" s="67"/>
      <c r="B63" s="67"/>
      <c r="C63" s="66"/>
      <c r="D63" s="66"/>
      <c r="E63" s="66"/>
      <c r="F63" s="66"/>
      <c r="G63" s="66"/>
      <c r="H63" s="66"/>
      <c r="I63" s="66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</row>
    <row r="64" ht="15.75" customHeight="1">
      <c r="A64" s="67"/>
      <c r="B64" s="67" t="s">
        <v>87</v>
      </c>
      <c r="C64" s="66"/>
      <c r="D64" s="66"/>
      <c r="E64" s="66"/>
      <c r="F64" s="66"/>
      <c r="G64" s="66"/>
      <c r="H64" s="66"/>
      <c r="I64" s="68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</row>
    <row r="65" ht="15.75" customHeight="1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</row>
    <row r="66" ht="15.75" customHeight="1">
      <c r="A66" s="80"/>
      <c r="B66" s="67"/>
      <c r="C66" s="35"/>
      <c r="D66" s="35"/>
      <c r="E66" s="35"/>
      <c r="F66" s="35"/>
      <c r="G66" s="35"/>
      <c r="H66" s="35"/>
      <c r="I66" s="56">
        <f t="shared" ref="I66:I68" si="2">SUM(C66:F66)</f>
        <v>0</v>
      </c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</row>
    <row r="67" ht="15.75" customHeight="1">
      <c r="A67" s="80"/>
      <c r="B67" s="67"/>
      <c r="C67" s="35"/>
      <c r="D67" s="35"/>
      <c r="E67" s="35"/>
      <c r="F67" s="35"/>
      <c r="G67" s="35"/>
      <c r="H67" s="35"/>
      <c r="I67" s="56">
        <f t="shared" si="2"/>
        <v>0</v>
      </c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</row>
    <row r="68" ht="15.75" customHeight="1">
      <c r="A68" s="80"/>
      <c r="B68" s="67"/>
      <c r="C68" s="35"/>
      <c r="D68" s="35"/>
      <c r="E68" s="35"/>
      <c r="F68" s="35"/>
      <c r="G68" s="35"/>
      <c r="H68" s="35"/>
      <c r="I68" s="56">
        <f t="shared" si="2"/>
        <v>0</v>
      </c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</row>
    <row r="69" ht="15.75" customHeight="1">
      <c r="A69" s="67"/>
      <c r="B69" s="67"/>
      <c r="C69" s="66"/>
      <c r="D69" s="66"/>
      <c r="E69" s="66"/>
      <c r="F69" s="66"/>
      <c r="G69" s="66"/>
      <c r="H69" s="66"/>
      <c r="I69" s="68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</row>
    <row r="70" ht="15.75" customHeight="1">
      <c r="A70" s="67"/>
      <c r="B70" s="67"/>
      <c r="C70" s="66"/>
      <c r="D70" s="66"/>
      <c r="E70" s="66"/>
      <c r="F70" s="66"/>
      <c r="G70" s="66"/>
      <c r="H70" s="66"/>
      <c r="I70" s="68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</row>
    <row r="71" ht="15.75" customHeight="1">
      <c r="A71" s="67"/>
      <c r="B71" s="67"/>
      <c r="C71" s="66"/>
      <c r="D71" s="66"/>
      <c r="E71" s="66"/>
      <c r="F71" s="66"/>
      <c r="G71" s="66"/>
      <c r="H71" s="66"/>
      <c r="I71" s="68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</row>
    <row r="72" ht="15.75" customHeight="1">
      <c r="A72" s="67"/>
      <c r="B72" s="67"/>
      <c r="C72" s="66"/>
      <c r="D72" s="66"/>
      <c r="E72" s="66"/>
      <c r="F72" s="66"/>
      <c r="G72" s="66"/>
      <c r="H72" s="66"/>
      <c r="I72" s="68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</row>
    <row r="73" ht="15.75" customHeight="1">
      <c r="A73" s="67"/>
      <c r="B73" s="67"/>
      <c r="C73" s="66"/>
      <c r="D73" s="66"/>
      <c r="E73" s="66"/>
      <c r="F73" s="66"/>
      <c r="G73" s="66"/>
      <c r="H73" s="35"/>
      <c r="I73" s="68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  <c r="AB73" s="67"/>
      <c r="AC73" s="67"/>
    </row>
    <row r="74" ht="15.75" customHeight="1">
      <c r="A74" s="67"/>
      <c r="B74" s="67"/>
      <c r="C74" s="66"/>
      <c r="D74" s="66"/>
      <c r="E74" s="66"/>
      <c r="F74" s="66"/>
      <c r="G74" s="66"/>
      <c r="H74" s="35"/>
      <c r="I74" s="68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</row>
    <row r="75" ht="15.75" customHeight="1">
      <c r="A75" s="67"/>
      <c r="B75" s="67"/>
      <c r="C75" s="66"/>
      <c r="D75" s="66"/>
      <c r="E75" s="66"/>
      <c r="F75" s="66"/>
      <c r="G75" s="66"/>
      <c r="H75" s="35"/>
      <c r="I75" s="68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</row>
    <row r="76" ht="15.75" customHeight="1">
      <c r="A76" s="82">
        <v>1.0</v>
      </c>
      <c r="B76" s="67" t="s">
        <v>90</v>
      </c>
      <c r="C76" s="35">
        <f t="shared" ref="C76:G76" si="3">SUM(C3:C24)</f>
        <v>560000</v>
      </c>
      <c r="D76" s="35">
        <f t="shared" si="3"/>
        <v>80000</v>
      </c>
      <c r="E76" s="35">
        <f t="shared" si="3"/>
        <v>37500</v>
      </c>
      <c r="F76" s="35">
        <f t="shared" si="3"/>
        <v>37500</v>
      </c>
      <c r="G76" s="35">
        <f t="shared" si="3"/>
        <v>150000</v>
      </c>
      <c r="H76" s="35">
        <f t="shared" ref="H76:H78" si="5">SUM(C76:G76)</f>
        <v>865000</v>
      </c>
      <c r="I76" s="56">
        <f>SUM(C76:F76)</f>
        <v>715000</v>
      </c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</row>
    <row r="77" ht="15.75" customHeight="1">
      <c r="A77" s="82">
        <v>2.0</v>
      </c>
      <c r="B77" s="67" t="s">
        <v>91</v>
      </c>
      <c r="C77" s="70">
        <f t="shared" ref="C77:G77" si="4">SuM(C27:C44)</f>
        <v>520000</v>
      </c>
      <c r="D77" s="70">
        <f t="shared" si="4"/>
        <v>75000</v>
      </c>
      <c r="E77" s="70">
        <f t="shared" si="4"/>
        <v>37500</v>
      </c>
      <c r="F77" s="70">
        <f t="shared" si="4"/>
        <v>37500</v>
      </c>
      <c r="G77" s="70">
        <f t="shared" si="4"/>
        <v>150000</v>
      </c>
      <c r="H77" s="35">
        <f t="shared" si="5"/>
        <v>820000</v>
      </c>
      <c r="I77" s="68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</row>
    <row r="78" ht="15.75" customHeight="1">
      <c r="A78" s="82">
        <v>3.0</v>
      </c>
      <c r="B78" s="67" t="s">
        <v>92</v>
      </c>
      <c r="C78" s="35">
        <f t="shared" ref="C78:G78" si="6">SUM(C47:C62)</f>
        <v>420000</v>
      </c>
      <c r="D78" s="35">
        <f t="shared" si="6"/>
        <v>60000</v>
      </c>
      <c r="E78" s="35">
        <f t="shared" si="6"/>
        <v>30000</v>
      </c>
      <c r="F78" s="35">
        <f t="shared" si="6"/>
        <v>30000</v>
      </c>
      <c r="G78" s="35">
        <f t="shared" si="6"/>
        <v>120000</v>
      </c>
      <c r="H78" s="35">
        <f t="shared" si="5"/>
        <v>660000</v>
      </c>
      <c r="I78" s="56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</row>
    <row r="79" ht="15.75" customHeight="1">
      <c r="A79" s="82">
        <v>4.0</v>
      </c>
      <c r="B79" s="67" t="s">
        <v>93</v>
      </c>
      <c r="C79" s="70">
        <f>Mar!C33</f>
        <v>6094500</v>
      </c>
      <c r="D79" s="70">
        <f>Mar!C34</f>
        <v>1562000</v>
      </c>
      <c r="E79" s="70">
        <f>Mar!C35</f>
        <v>2496000</v>
      </c>
      <c r="F79" s="70">
        <f>Mar!C36</f>
        <v>1015000</v>
      </c>
      <c r="G79" s="70">
        <f>Mar!C37</f>
        <v>3168500</v>
      </c>
      <c r="H79" s="74">
        <f>Mar!C38</f>
        <v>14336000</v>
      </c>
      <c r="I79" s="68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</row>
    <row r="80" ht="15.75" customHeight="1">
      <c r="A80" s="67"/>
      <c r="B80" s="83" t="s">
        <v>94</v>
      </c>
      <c r="C80" s="35">
        <f t="shared" ref="C80:G80" si="7">SUM(C66:C79)</f>
        <v>7594500</v>
      </c>
      <c r="D80" s="35">
        <f t="shared" si="7"/>
        <v>1777000</v>
      </c>
      <c r="E80" s="35">
        <f t="shared" si="7"/>
        <v>2601000</v>
      </c>
      <c r="F80" s="35">
        <f t="shared" si="7"/>
        <v>1120000</v>
      </c>
      <c r="G80" s="35">
        <f t="shared" si="7"/>
        <v>3588500</v>
      </c>
      <c r="H80" s="35">
        <f>SUM(C80:G80)</f>
        <v>16681000</v>
      </c>
      <c r="I80" s="68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  <c r="AB80" s="67"/>
      <c r="AC80" s="67"/>
    </row>
    <row r="81" ht="15.75" customHeight="1">
      <c r="A81" s="67"/>
      <c r="B81" s="67"/>
      <c r="C81" s="67"/>
      <c r="D81" s="67"/>
      <c r="E81" s="67"/>
      <c r="F81" s="67"/>
      <c r="G81" s="67"/>
      <c r="H81" s="67"/>
      <c r="I81" s="78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  <c r="AB81" s="67"/>
      <c r="AC81" s="67"/>
    </row>
    <row r="82" ht="15.75" customHeight="1">
      <c r="A82" s="67"/>
      <c r="B82" s="67"/>
      <c r="C82" s="67"/>
      <c r="D82" s="67"/>
      <c r="E82" s="67"/>
      <c r="F82" s="67"/>
      <c r="G82" s="67"/>
      <c r="H82" s="67"/>
      <c r="I82" s="78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  <c r="AB82" s="67"/>
      <c r="AC82" s="67"/>
    </row>
    <row r="83" ht="15.75" customHeight="1">
      <c r="A83" s="67"/>
      <c r="B83" s="70"/>
      <c r="C83" s="70"/>
      <c r="D83" s="70"/>
      <c r="E83" s="70"/>
      <c r="F83" s="70"/>
      <c r="G83" s="70"/>
      <c r="H83" s="70"/>
      <c r="I83" s="78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  <c r="AB83" s="67"/>
      <c r="AC83" s="67"/>
    </row>
    <row r="84" ht="15.75" customHeight="1">
      <c r="A84" s="67"/>
      <c r="B84" s="67"/>
      <c r="C84" s="70"/>
      <c r="D84" s="67"/>
      <c r="E84" s="67"/>
      <c r="F84" s="67"/>
      <c r="G84" s="67"/>
      <c r="H84" s="67"/>
      <c r="I84" s="78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  <c r="AB84" s="67"/>
      <c r="AC84" s="67"/>
    </row>
    <row r="85" ht="15.75" customHeight="1">
      <c r="A85" s="67"/>
      <c r="B85" s="67"/>
      <c r="C85" s="67"/>
      <c r="D85" s="67"/>
      <c r="E85" s="67"/>
      <c r="F85" s="67"/>
      <c r="G85" s="67"/>
      <c r="H85" s="67"/>
      <c r="I85" s="78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  <c r="AB85" s="67"/>
      <c r="AC85" s="67"/>
    </row>
    <row r="86" ht="15.75" customHeight="1">
      <c r="A86" s="67"/>
      <c r="B86" s="67"/>
      <c r="C86" s="40"/>
      <c r="D86" s="67"/>
      <c r="E86" s="67"/>
      <c r="F86" s="67"/>
      <c r="G86" s="67"/>
      <c r="H86" s="67"/>
      <c r="I86" s="78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  <c r="AB86" s="67"/>
      <c r="AC86" s="67"/>
    </row>
    <row r="87" ht="15.75" customHeight="1">
      <c r="A87" s="67"/>
      <c r="B87" s="67"/>
      <c r="C87" s="67"/>
      <c r="D87" s="67"/>
      <c r="E87" s="67"/>
      <c r="F87" s="67"/>
      <c r="G87" s="67"/>
      <c r="H87" s="67"/>
      <c r="I87" s="78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  <c r="AB87" s="67"/>
      <c r="AC87" s="67"/>
    </row>
    <row r="88" ht="15.75" customHeight="1">
      <c r="A88" s="67"/>
      <c r="B88" s="67"/>
      <c r="C88" s="67"/>
      <c r="D88" s="67"/>
      <c r="E88" s="67"/>
      <c r="F88" s="67"/>
      <c r="G88" s="67"/>
      <c r="H88" s="67"/>
      <c r="I88" s="78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</row>
    <row r="89" ht="15.75" customHeight="1">
      <c r="A89" s="67"/>
      <c r="B89" s="67"/>
      <c r="C89" s="67"/>
      <c r="D89" s="67"/>
      <c r="E89" s="67"/>
      <c r="F89" s="67"/>
      <c r="G89" s="67"/>
      <c r="H89" s="67"/>
      <c r="I89" s="78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</row>
    <row r="90" ht="15.75" customHeight="1">
      <c r="A90" s="67"/>
      <c r="B90" s="67"/>
      <c r="C90" s="67"/>
      <c r="D90" s="67"/>
      <c r="E90" s="67"/>
      <c r="F90" s="67"/>
      <c r="G90" s="67"/>
      <c r="H90" s="67"/>
      <c r="I90" s="78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</row>
    <row r="91" ht="15.75" customHeight="1">
      <c r="A91" s="67"/>
      <c r="B91" s="67"/>
      <c r="C91" s="67"/>
      <c r="D91" s="67"/>
      <c r="E91" s="67"/>
      <c r="F91" s="67"/>
      <c r="G91" s="67"/>
      <c r="H91" s="67"/>
      <c r="I91" s="78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</row>
    <row r="92" ht="15.75" customHeight="1">
      <c r="A92" s="67"/>
      <c r="B92" s="67"/>
      <c r="C92" s="67"/>
      <c r="D92" s="67"/>
      <c r="E92" s="67"/>
      <c r="F92" s="67"/>
      <c r="G92" s="67"/>
      <c r="H92" s="67"/>
      <c r="I92" s="78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</row>
    <row r="93" ht="15.75" customHeight="1">
      <c r="A93" s="67"/>
      <c r="B93" s="67"/>
      <c r="C93" s="67"/>
      <c r="D93" s="67"/>
      <c r="E93" s="67"/>
      <c r="F93" s="67"/>
      <c r="G93" s="67"/>
      <c r="H93" s="67"/>
      <c r="I93" s="78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</row>
    <row r="94" ht="15.75" customHeight="1">
      <c r="A94" s="67"/>
      <c r="B94" s="67"/>
      <c r="C94" s="67"/>
      <c r="D94" s="67"/>
      <c r="E94" s="67"/>
      <c r="F94" s="67"/>
      <c r="G94" s="67"/>
      <c r="H94" s="67"/>
      <c r="I94" s="78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</row>
    <row r="95" ht="15.75" customHeight="1">
      <c r="A95" s="67"/>
      <c r="B95" s="67"/>
      <c r="C95" s="67"/>
      <c r="D95" s="67"/>
      <c r="E95" s="67"/>
      <c r="F95" s="67"/>
      <c r="G95" s="67"/>
      <c r="H95" s="67"/>
      <c r="I95" s="78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</row>
    <row r="96" ht="15.75" customHeight="1">
      <c r="A96" s="67"/>
      <c r="B96" s="67"/>
      <c r="C96" s="67"/>
      <c r="D96" s="67"/>
      <c r="E96" s="67"/>
      <c r="F96" s="67"/>
      <c r="G96" s="67"/>
      <c r="H96" s="67"/>
      <c r="I96" s="78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</row>
    <row r="97" ht="15.75" customHeight="1">
      <c r="A97" s="67"/>
      <c r="B97" s="67"/>
      <c r="C97" s="67"/>
      <c r="D97" s="67"/>
      <c r="E97" s="67"/>
      <c r="F97" s="67"/>
      <c r="G97" s="67"/>
      <c r="H97" s="67"/>
      <c r="I97" s="78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  <c r="AB97" s="67"/>
      <c r="AC97" s="67"/>
    </row>
    <row r="98" ht="15.75" customHeight="1">
      <c r="A98" s="67"/>
      <c r="B98" s="67"/>
      <c r="C98" s="67"/>
      <c r="D98" s="67"/>
      <c r="E98" s="67"/>
      <c r="F98" s="67"/>
      <c r="G98" s="67"/>
      <c r="H98" s="67"/>
      <c r="I98" s="78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  <c r="AB98" s="67"/>
      <c r="AC98" s="67"/>
    </row>
    <row r="99" ht="15.75" customHeight="1">
      <c r="A99" s="67"/>
      <c r="B99" s="67"/>
      <c r="C99" s="67"/>
      <c r="D99" s="67"/>
      <c r="E99" s="67"/>
      <c r="F99" s="67"/>
      <c r="G99" s="67"/>
      <c r="H99" s="67"/>
      <c r="I99" s="78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  <c r="AB99" s="67"/>
      <c r="AC99" s="67"/>
    </row>
    <row r="100" ht="15.75" customHeight="1">
      <c r="A100" s="67"/>
      <c r="B100" s="67"/>
      <c r="C100" s="67"/>
      <c r="D100" s="67"/>
      <c r="E100" s="67"/>
      <c r="F100" s="67"/>
      <c r="G100" s="67"/>
      <c r="H100" s="67"/>
      <c r="I100" s="78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  <c r="AB100" s="67"/>
      <c r="AC100" s="67"/>
    </row>
    <row r="101" ht="15.75" customHeight="1">
      <c r="A101" s="67"/>
      <c r="B101" s="67"/>
      <c r="C101" s="67"/>
      <c r="D101" s="67"/>
      <c r="E101" s="67"/>
      <c r="F101" s="67"/>
      <c r="G101" s="67"/>
      <c r="H101" s="67"/>
      <c r="I101" s="78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  <c r="AB101" s="67"/>
      <c r="AC101" s="67"/>
    </row>
    <row r="102" ht="15.75" customHeight="1">
      <c r="A102" s="67"/>
      <c r="B102" s="67"/>
      <c r="C102" s="67"/>
      <c r="D102" s="67"/>
      <c r="E102" s="67"/>
      <c r="F102" s="67"/>
      <c r="G102" s="67"/>
      <c r="H102" s="67"/>
      <c r="I102" s="78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  <c r="AB102" s="67"/>
      <c r="AC102" s="67"/>
    </row>
    <row r="103" ht="15.75" customHeight="1">
      <c r="A103" s="67"/>
      <c r="B103" s="67"/>
      <c r="C103" s="67"/>
      <c r="D103" s="67"/>
      <c r="E103" s="67"/>
      <c r="F103" s="67"/>
      <c r="G103" s="67"/>
      <c r="H103" s="67"/>
      <c r="I103" s="78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  <c r="AB103" s="67"/>
      <c r="AC103" s="67"/>
    </row>
    <row r="104" ht="15.75" customHeight="1">
      <c r="A104" s="67"/>
      <c r="B104" s="67"/>
      <c r="C104" s="67"/>
      <c r="D104" s="67"/>
      <c r="E104" s="67"/>
      <c r="F104" s="67"/>
      <c r="G104" s="67"/>
      <c r="H104" s="67"/>
      <c r="I104" s="78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  <c r="AB104" s="67"/>
      <c r="AC104" s="67"/>
    </row>
    <row r="105" ht="15.75" customHeight="1">
      <c r="A105" s="67"/>
      <c r="B105" s="67"/>
      <c r="C105" s="67"/>
      <c r="D105" s="67"/>
      <c r="E105" s="67"/>
      <c r="F105" s="67"/>
      <c r="G105" s="67"/>
      <c r="H105" s="67"/>
      <c r="I105" s="78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  <c r="AB105" s="67"/>
      <c r="AC105" s="67"/>
    </row>
    <row r="106" ht="15.75" customHeight="1">
      <c r="A106" s="67"/>
      <c r="B106" s="67"/>
      <c r="C106" s="67"/>
      <c r="D106" s="67"/>
      <c r="E106" s="67"/>
      <c r="F106" s="67"/>
      <c r="G106" s="67"/>
      <c r="H106" s="67"/>
      <c r="I106" s="78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  <c r="AB106" s="67"/>
      <c r="AC106" s="67"/>
    </row>
    <row r="107" ht="15.75" customHeight="1">
      <c r="A107" s="67"/>
      <c r="B107" s="67"/>
      <c r="C107" s="67"/>
      <c r="D107" s="67"/>
      <c r="E107" s="67"/>
      <c r="F107" s="67"/>
      <c r="G107" s="67"/>
      <c r="H107" s="67"/>
      <c r="I107" s="78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  <c r="AB107" s="67"/>
      <c r="AC107" s="67"/>
    </row>
    <row r="108" ht="15.75" customHeight="1">
      <c r="A108" s="67"/>
      <c r="B108" s="67"/>
      <c r="C108" s="67"/>
      <c r="D108" s="67"/>
      <c r="E108" s="67"/>
      <c r="F108" s="67"/>
      <c r="G108" s="67"/>
      <c r="H108" s="67"/>
      <c r="I108" s="78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  <c r="AB108" s="67"/>
      <c r="AC108" s="67"/>
    </row>
    <row r="109" ht="15.75" customHeight="1">
      <c r="A109" s="67"/>
      <c r="B109" s="67"/>
      <c r="C109" s="67"/>
      <c r="D109" s="67"/>
      <c r="E109" s="67"/>
      <c r="F109" s="67"/>
      <c r="G109" s="67"/>
      <c r="H109" s="67"/>
      <c r="I109" s="78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  <c r="AB109" s="67"/>
      <c r="AC109" s="67"/>
    </row>
    <row r="110" ht="15.75" customHeight="1">
      <c r="A110" s="67"/>
      <c r="B110" s="67"/>
      <c r="C110" s="67"/>
      <c r="D110" s="67"/>
      <c r="E110" s="67"/>
      <c r="F110" s="67"/>
      <c r="G110" s="67"/>
      <c r="H110" s="67"/>
      <c r="I110" s="78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  <c r="AB110" s="67"/>
      <c r="AC110" s="67"/>
    </row>
    <row r="111" ht="15.75" customHeight="1">
      <c r="A111" s="67"/>
      <c r="B111" s="67"/>
      <c r="C111" s="67"/>
      <c r="D111" s="67"/>
      <c r="E111" s="67"/>
      <c r="F111" s="67"/>
      <c r="G111" s="67"/>
      <c r="H111" s="67"/>
      <c r="I111" s="78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  <c r="AB111" s="67"/>
      <c r="AC111" s="67"/>
    </row>
    <row r="112" ht="15.75" customHeight="1">
      <c r="A112" s="67"/>
      <c r="B112" s="67"/>
      <c r="C112" s="67"/>
      <c r="D112" s="67"/>
      <c r="E112" s="67"/>
      <c r="F112" s="67"/>
      <c r="G112" s="67"/>
      <c r="H112" s="67"/>
      <c r="I112" s="78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</row>
    <row r="113" ht="15.75" customHeight="1">
      <c r="A113" s="67"/>
      <c r="B113" s="67"/>
      <c r="C113" s="67"/>
      <c r="D113" s="67"/>
      <c r="E113" s="67"/>
      <c r="F113" s="67"/>
      <c r="G113" s="67"/>
      <c r="H113" s="67"/>
      <c r="I113" s="78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</row>
    <row r="114" ht="15.75" customHeight="1">
      <c r="A114" s="67"/>
      <c r="B114" s="67"/>
      <c r="C114" s="67"/>
      <c r="D114" s="67"/>
      <c r="E114" s="67"/>
      <c r="F114" s="67"/>
      <c r="G114" s="67"/>
      <c r="H114" s="67"/>
      <c r="I114" s="78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</row>
    <row r="115" ht="15.75" customHeight="1">
      <c r="A115" s="67"/>
      <c r="B115" s="67"/>
      <c r="C115" s="67"/>
      <c r="D115" s="67"/>
      <c r="E115" s="67"/>
      <c r="F115" s="67"/>
      <c r="G115" s="67"/>
      <c r="H115" s="67"/>
      <c r="I115" s="78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</row>
    <row r="116" ht="15.75" customHeight="1">
      <c r="A116" s="67"/>
      <c r="B116" s="67"/>
      <c r="C116" s="67"/>
      <c r="D116" s="67"/>
      <c r="E116" s="67"/>
      <c r="F116" s="67"/>
      <c r="G116" s="67"/>
      <c r="H116" s="67"/>
      <c r="I116" s="78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</row>
    <row r="117" ht="15.75" customHeight="1">
      <c r="A117" s="67"/>
      <c r="B117" s="67"/>
      <c r="C117" s="67"/>
      <c r="D117" s="67"/>
      <c r="E117" s="67"/>
      <c r="F117" s="67"/>
      <c r="G117" s="67"/>
      <c r="H117" s="67"/>
      <c r="I117" s="78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</row>
    <row r="118" ht="15.75" customHeight="1">
      <c r="A118" s="67"/>
      <c r="B118" s="67"/>
      <c r="C118" s="67"/>
      <c r="D118" s="67"/>
      <c r="E118" s="67"/>
      <c r="F118" s="67"/>
      <c r="G118" s="67"/>
      <c r="H118" s="67"/>
      <c r="I118" s="78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  <c r="AB118" s="67"/>
      <c r="AC118" s="67"/>
    </row>
    <row r="119" ht="15.75" customHeight="1">
      <c r="A119" s="67"/>
      <c r="B119" s="67"/>
      <c r="C119" s="67"/>
      <c r="D119" s="67"/>
      <c r="E119" s="67"/>
      <c r="F119" s="67"/>
      <c r="G119" s="67"/>
      <c r="H119" s="67"/>
      <c r="I119" s="78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  <c r="AB119" s="67"/>
      <c r="AC119" s="67"/>
    </row>
    <row r="120" ht="15.75" customHeight="1">
      <c r="A120" s="67"/>
      <c r="B120" s="67"/>
      <c r="C120" s="67"/>
      <c r="D120" s="67"/>
      <c r="E120" s="67"/>
      <c r="F120" s="67"/>
      <c r="G120" s="67"/>
      <c r="H120" s="67"/>
      <c r="I120" s="78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  <c r="AB120" s="67"/>
      <c r="AC120" s="67"/>
    </row>
    <row r="121" ht="15.75" customHeight="1">
      <c r="A121" s="67"/>
      <c r="B121" s="67"/>
      <c r="C121" s="67"/>
      <c r="D121" s="67"/>
      <c r="E121" s="67"/>
      <c r="F121" s="67"/>
      <c r="G121" s="67"/>
      <c r="H121" s="67"/>
      <c r="I121" s="78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</row>
    <row r="122" ht="15.75" customHeight="1">
      <c r="A122" s="67"/>
      <c r="B122" s="67"/>
      <c r="C122" s="67"/>
      <c r="D122" s="67"/>
      <c r="E122" s="67"/>
      <c r="F122" s="67"/>
      <c r="G122" s="67"/>
      <c r="H122" s="67"/>
      <c r="I122" s="78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  <c r="AB122" s="67"/>
      <c r="AC122" s="67"/>
    </row>
    <row r="123" ht="15.75" customHeight="1">
      <c r="A123" s="67"/>
      <c r="B123" s="67"/>
      <c r="C123" s="67"/>
      <c r="D123" s="67"/>
      <c r="E123" s="67"/>
      <c r="F123" s="67"/>
      <c r="G123" s="67"/>
      <c r="H123" s="67"/>
      <c r="I123" s="78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  <c r="AB123" s="67"/>
      <c r="AC123" s="67"/>
    </row>
    <row r="124" ht="15.75" customHeight="1">
      <c r="A124" s="67"/>
      <c r="B124" s="67"/>
      <c r="C124" s="67"/>
      <c r="D124" s="67"/>
      <c r="E124" s="67"/>
      <c r="F124" s="67"/>
      <c r="G124" s="67"/>
      <c r="H124" s="67"/>
      <c r="I124" s="78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  <c r="AB124" s="67"/>
      <c r="AC124" s="67"/>
    </row>
    <row r="125" ht="15.75" customHeight="1">
      <c r="A125" s="67"/>
      <c r="B125" s="67"/>
      <c r="C125" s="67"/>
      <c r="D125" s="67"/>
      <c r="E125" s="67"/>
      <c r="F125" s="67"/>
      <c r="G125" s="67"/>
      <c r="H125" s="67"/>
      <c r="I125" s="78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  <c r="AB125" s="67"/>
      <c r="AC125" s="67"/>
    </row>
    <row r="126" ht="15.75" customHeight="1">
      <c r="A126" s="67"/>
      <c r="B126" s="67"/>
      <c r="C126" s="67"/>
      <c r="D126" s="67"/>
      <c r="E126" s="67"/>
      <c r="F126" s="67"/>
      <c r="G126" s="67"/>
      <c r="H126" s="67"/>
      <c r="I126" s="78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</row>
    <row r="127" ht="15.75" customHeight="1">
      <c r="A127" s="67"/>
      <c r="B127" s="67"/>
      <c r="C127" s="67"/>
      <c r="D127" s="67"/>
      <c r="E127" s="67"/>
      <c r="F127" s="67"/>
      <c r="G127" s="67"/>
      <c r="H127" s="67"/>
      <c r="I127" s="78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  <c r="AB127" s="67"/>
      <c r="AC127" s="67"/>
    </row>
    <row r="128" ht="15.75" customHeight="1">
      <c r="A128" s="67"/>
      <c r="B128" s="67"/>
      <c r="C128" s="67"/>
      <c r="D128" s="67"/>
      <c r="E128" s="67"/>
      <c r="F128" s="67"/>
      <c r="G128" s="67"/>
      <c r="H128" s="67"/>
      <c r="I128" s="78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  <c r="AB128" s="67"/>
      <c r="AC128" s="67"/>
    </row>
    <row r="129" ht="15.75" customHeight="1">
      <c r="A129" s="67"/>
      <c r="B129" s="67"/>
      <c r="C129" s="67"/>
      <c r="D129" s="67"/>
      <c r="E129" s="67"/>
      <c r="F129" s="67"/>
      <c r="G129" s="67"/>
      <c r="H129" s="67"/>
      <c r="I129" s="78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  <c r="AB129" s="67"/>
      <c r="AC129" s="67"/>
    </row>
    <row r="130" ht="15.75" customHeight="1">
      <c r="A130" s="67"/>
      <c r="B130" s="67"/>
      <c r="C130" s="67"/>
      <c r="D130" s="67"/>
      <c r="E130" s="67"/>
      <c r="F130" s="67"/>
      <c r="G130" s="67"/>
      <c r="H130" s="67"/>
      <c r="I130" s="78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  <c r="AB130" s="67"/>
      <c r="AC130" s="67"/>
    </row>
    <row r="131" ht="15.75" customHeight="1">
      <c r="A131" s="67"/>
      <c r="B131" s="67"/>
      <c r="C131" s="67"/>
      <c r="D131" s="67"/>
      <c r="E131" s="67"/>
      <c r="F131" s="67"/>
      <c r="G131" s="67"/>
      <c r="H131" s="67"/>
      <c r="I131" s="78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  <c r="AB131" s="67"/>
      <c r="AC131" s="67"/>
    </row>
    <row r="132" ht="15.75" customHeight="1">
      <c r="A132" s="67"/>
      <c r="B132" s="67"/>
      <c r="C132" s="67"/>
      <c r="D132" s="67"/>
      <c r="E132" s="67"/>
      <c r="F132" s="67"/>
      <c r="G132" s="67"/>
      <c r="H132" s="67"/>
      <c r="I132" s="78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  <c r="AB132" s="67"/>
      <c r="AC132" s="67"/>
    </row>
    <row r="133" ht="15.75" customHeight="1">
      <c r="A133" s="67"/>
      <c r="B133" s="67"/>
      <c r="C133" s="67"/>
      <c r="D133" s="67"/>
      <c r="E133" s="67"/>
      <c r="F133" s="67"/>
      <c r="G133" s="67"/>
      <c r="H133" s="67"/>
      <c r="I133" s="78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  <c r="AB133" s="67"/>
      <c r="AC133" s="67"/>
    </row>
    <row r="134" ht="15.75" customHeight="1">
      <c r="A134" s="67"/>
      <c r="B134" s="67"/>
      <c r="C134" s="67"/>
      <c r="D134" s="67"/>
      <c r="E134" s="67"/>
      <c r="F134" s="67"/>
      <c r="G134" s="67"/>
      <c r="H134" s="67"/>
      <c r="I134" s="78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  <c r="AB134" s="67"/>
      <c r="AC134" s="67"/>
    </row>
    <row r="135" ht="15.75" customHeight="1">
      <c r="A135" s="67"/>
      <c r="B135" s="67"/>
      <c r="C135" s="67"/>
      <c r="D135" s="67"/>
      <c r="E135" s="67"/>
      <c r="F135" s="67"/>
      <c r="G135" s="67"/>
      <c r="H135" s="67"/>
      <c r="I135" s="78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  <c r="AB135" s="67"/>
      <c r="AC135" s="67"/>
    </row>
    <row r="136" ht="15.75" customHeight="1">
      <c r="A136" s="67"/>
      <c r="B136" s="67"/>
      <c r="C136" s="67"/>
      <c r="D136" s="67"/>
      <c r="E136" s="67"/>
      <c r="F136" s="67"/>
      <c r="G136" s="67"/>
      <c r="H136" s="67"/>
      <c r="I136" s="78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  <c r="AB136" s="67"/>
      <c r="AC136" s="67"/>
    </row>
    <row r="137" ht="15.75" customHeight="1">
      <c r="A137" s="67"/>
      <c r="B137" s="67"/>
      <c r="C137" s="67"/>
      <c r="D137" s="67"/>
      <c r="E137" s="67"/>
      <c r="F137" s="67"/>
      <c r="G137" s="67"/>
      <c r="H137" s="67"/>
      <c r="I137" s="78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  <c r="AB137" s="67"/>
      <c r="AC137" s="67"/>
    </row>
    <row r="138" ht="15.75" customHeight="1">
      <c r="A138" s="67"/>
      <c r="B138" s="67"/>
      <c r="C138" s="67"/>
      <c r="D138" s="67"/>
      <c r="E138" s="67"/>
      <c r="F138" s="67"/>
      <c r="G138" s="67"/>
      <c r="H138" s="67"/>
      <c r="I138" s="78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  <c r="AB138" s="67"/>
      <c r="AC138" s="67"/>
    </row>
    <row r="139" ht="15.75" customHeight="1">
      <c r="A139" s="67"/>
      <c r="B139" s="67"/>
      <c r="C139" s="67"/>
      <c r="D139" s="67"/>
      <c r="E139" s="67"/>
      <c r="F139" s="67"/>
      <c r="G139" s="67"/>
      <c r="H139" s="67"/>
      <c r="I139" s="78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  <c r="AB139" s="67"/>
      <c r="AC139" s="67"/>
    </row>
    <row r="140" ht="15.75" customHeight="1">
      <c r="A140" s="67"/>
      <c r="B140" s="67"/>
      <c r="C140" s="67"/>
      <c r="D140" s="67"/>
      <c r="E140" s="67"/>
      <c r="F140" s="67"/>
      <c r="G140" s="67"/>
      <c r="H140" s="67"/>
      <c r="I140" s="78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  <c r="AB140" s="67"/>
      <c r="AC140" s="67"/>
    </row>
    <row r="141" ht="15.75" customHeight="1">
      <c r="A141" s="67"/>
      <c r="B141" s="67"/>
      <c r="C141" s="67"/>
      <c r="D141" s="67"/>
      <c r="E141" s="67"/>
      <c r="F141" s="67"/>
      <c r="G141" s="67"/>
      <c r="H141" s="67"/>
      <c r="I141" s="78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</row>
    <row r="142" ht="15.75" customHeight="1">
      <c r="A142" s="67"/>
      <c r="B142" s="67"/>
      <c r="C142" s="67"/>
      <c r="D142" s="67"/>
      <c r="E142" s="67"/>
      <c r="F142" s="67"/>
      <c r="G142" s="67"/>
      <c r="H142" s="67"/>
      <c r="I142" s="78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  <c r="AB142" s="67"/>
      <c r="AC142" s="67"/>
    </row>
    <row r="143" ht="15.75" customHeight="1">
      <c r="A143" s="67"/>
      <c r="B143" s="67"/>
      <c r="C143" s="67"/>
      <c r="D143" s="67"/>
      <c r="E143" s="67"/>
      <c r="F143" s="67"/>
      <c r="G143" s="67"/>
      <c r="H143" s="67"/>
      <c r="I143" s="78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  <c r="AB143" s="67"/>
      <c r="AC143" s="67"/>
    </row>
    <row r="144" ht="15.75" customHeight="1">
      <c r="A144" s="67"/>
      <c r="B144" s="67"/>
      <c r="C144" s="67"/>
      <c r="D144" s="67"/>
      <c r="E144" s="67"/>
      <c r="F144" s="67"/>
      <c r="G144" s="67"/>
      <c r="H144" s="67"/>
      <c r="I144" s="78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  <c r="AB144" s="67"/>
      <c r="AC144" s="67"/>
    </row>
    <row r="145" ht="15.75" customHeight="1">
      <c r="A145" s="67"/>
      <c r="B145" s="67"/>
      <c r="C145" s="67"/>
      <c r="D145" s="67"/>
      <c r="E145" s="67"/>
      <c r="F145" s="67"/>
      <c r="G145" s="67"/>
      <c r="H145" s="67"/>
      <c r="I145" s="78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  <c r="AB145" s="67"/>
      <c r="AC145" s="67"/>
    </row>
    <row r="146" ht="15.75" customHeight="1">
      <c r="A146" s="67"/>
      <c r="B146" s="67"/>
      <c r="C146" s="67"/>
      <c r="D146" s="67"/>
      <c r="E146" s="67"/>
      <c r="F146" s="67"/>
      <c r="G146" s="67"/>
      <c r="H146" s="67"/>
      <c r="I146" s="78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  <c r="AB146" s="67"/>
      <c r="AC146" s="67"/>
    </row>
    <row r="147" ht="15.75" customHeight="1">
      <c r="A147" s="67"/>
      <c r="B147" s="67"/>
      <c r="C147" s="67"/>
      <c r="D147" s="67"/>
      <c r="E147" s="67"/>
      <c r="F147" s="67"/>
      <c r="G147" s="67"/>
      <c r="H147" s="67"/>
      <c r="I147" s="78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  <c r="AB147" s="67"/>
      <c r="AC147" s="67"/>
    </row>
    <row r="148" ht="15.75" customHeight="1">
      <c r="A148" s="67"/>
      <c r="B148" s="67"/>
      <c r="C148" s="67"/>
      <c r="D148" s="67"/>
      <c r="E148" s="67"/>
      <c r="F148" s="67"/>
      <c r="G148" s="67"/>
      <c r="H148" s="67"/>
      <c r="I148" s="78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  <c r="AB148" s="67"/>
      <c r="AC148" s="67"/>
    </row>
    <row r="149" ht="15.75" customHeight="1">
      <c r="A149" s="67"/>
      <c r="B149" s="67"/>
      <c r="C149" s="67"/>
      <c r="D149" s="67"/>
      <c r="E149" s="67"/>
      <c r="F149" s="67"/>
      <c r="G149" s="67"/>
      <c r="H149" s="67"/>
      <c r="I149" s="78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  <c r="AB149" s="67"/>
      <c r="AC149" s="67"/>
    </row>
    <row r="150" ht="15.75" customHeight="1">
      <c r="A150" s="67"/>
      <c r="B150" s="67"/>
      <c r="C150" s="67"/>
      <c r="D150" s="67"/>
      <c r="E150" s="67"/>
      <c r="F150" s="67"/>
      <c r="G150" s="67"/>
      <c r="H150" s="67"/>
      <c r="I150" s="78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  <c r="AB150" s="67"/>
      <c r="AC150" s="67"/>
    </row>
    <row r="151" ht="15.75" customHeight="1">
      <c r="A151" s="67"/>
      <c r="B151" s="67"/>
      <c r="C151" s="67"/>
      <c r="D151" s="67"/>
      <c r="E151" s="67"/>
      <c r="F151" s="67"/>
      <c r="G151" s="67"/>
      <c r="H151" s="67"/>
      <c r="I151" s="78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  <c r="AB151" s="67"/>
      <c r="AC151" s="67"/>
    </row>
    <row r="152" ht="15.75" customHeight="1">
      <c r="A152" s="67"/>
      <c r="B152" s="67"/>
      <c r="C152" s="67"/>
      <c r="D152" s="67"/>
      <c r="E152" s="67"/>
      <c r="F152" s="67"/>
      <c r="G152" s="67"/>
      <c r="H152" s="67"/>
      <c r="I152" s="78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  <c r="AB152" s="67"/>
      <c r="AC152" s="67"/>
    </row>
    <row r="153" ht="15.75" customHeight="1">
      <c r="A153" s="67"/>
      <c r="B153" s="67"/>
      <c r="C153" s="67"/>
      <c r="D153" s="67"/>
      <c r="E153" s="67"/>
      <c r="F153" s="67"/>
      <c r="G153" s="67"/>
      <c r="H153" s="67"/>
      <c r="I153" s="78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  <c r="AB153" s="67"/>
      <c r="AC153" s="67"/>
    </row>
    <row r="154" ht="15.75" customHeight="1">
      <c r="A154" s="67"/>
      <c r="B154" s="67"/>
      <c r="C154" s="67"/>
      <c r="D154" s="67"/>
      <c r="E154" s="67"/>
      <c r="F154" s="67"/>
      <c r="G154" s="67"/>
      <c r="H154" s="67"/>
      <c r="I154" s="78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  <c r="AB154" s="67"/>
      <c r="AC154" s="67"/>
    </row>
    <row r="155" ht="15.75" customHeight="1">
      <c r="A155" s="67"/>
      <c r="B155" s="67"/>
      <c r="C155" s="67"/>
      <c r="D155" s="67"/>
      <c r="E155" s="67"/>
      <c r="F155" s="67"/>
      <c r="G155" s="67"/>
      <c r="H155" s="67"/>
      <c r="I155" s="78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  <c r="AB155" s="67"/>
      <c r="AC155" s="67"/>
    </row>
    <row r="156" ht="15.75" customHeight="1">
      <c r="A156" s="67"/>
      <c r="B156" s="67"/>
      <c r="C156" s="67"/>
      <c r="D156" s="67"/>
      <c r="E156" s="67"/>
      <c r="F156" s="67"/>
      <c r="G156" s="67"/>
      <c r="H156" s="67"/>
      <c r="I156" s="78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  <c r="AB156" s="67"/>
      <c r="AC156" s="67"/>
    </row>
    <row r="157" ht="15.75" customHeight="1">
      <c r="A157" s="67"/>
      <c r="B157" s="67"/>
      <c r="C157" s="67"/>
      <c r="D157" s="67"/>
      <c r="E157" s="67"/>
      <c r="F157" s="67"/>
      <c r="G157" s="67"/>
      <c r="H157" s="67"/>
      <c r="I157" s="78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  <c r="AB157" s="67"/>
      <c r="AC157" s="67"/>
    </row>
    <row r="158" ht="15.75" customHeight="1">
      <c r="A158" s="67"/>
      <c r="B158" s="67"/>
      <c r="C158" s="67"/>
      <c r="D158" s="67"/>
      <c r="E158" s="67"/>
      <c r="F158" s="67"/>
      <c r="G158" s="67"/>
      <c r="H158" s="67"/>
      <c r="I158" s="78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  <c r="AB158" s="67"/>
      <c r="AC158" s="67"/>
    </row>
    <row r="159" ht="15.75" customHeight="1">
      <c r="A159" s="67"/>
      <c r="B159" s="67"/>
      <c r="C159" s="67"/>
      <c r="D159" s="67"/>
      <c r="E159" s="67"/>
      <c r="F159" s="67"/>
      <c r="G159" s="67"/>
      <c r="H159" s="67"/>
      <c r="I159" s="78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  <c r="AB159" s="67"/>
      <c r="AC159" s="67"/>
    </row>
    <row r="160" ht="15.75" customHeight="1">
      <c r="A160" s="67"/>
      <c r="B160" s="67"/>
      <c r="C160" s="67"/>
      <c r="D160" s="67"/>
      <c r="E160" s="67"/>
      <c r="F160" s="67"/>
      <c r="G160" s="67"/>
      <c r="H160" s="67"/>
      <c r="I160" s="78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  <c r="AB160" s="67"/>
      <c r="AC160" s="67"/>
    </row>
    <row r="161" ht="15.75" customHeight="1">
      <c r="A161" s="67"/>
      <c r="B161" s="67"/>
      <c r="C161" s="67"/>
      <c r="D161" s="67"/>
      <c r="E161" s="67"/>
      <c r="F161" s="67"/>
      <c r="G161" s="67"/>
      <c r="H161" s="67"/>
      <c r="I161" s="78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  <c r="AB161" s="67"/>
      <c r="AC161" s="67"/>
    </row>
    <row r="162" ht="15.75" customHeight="1">
      <c r="A162" s="67"/>
      <c r="B162" s="67"/>
      <c r="C162" s="67"/>
      <c r="D162" s="67"/>
      <c r="E162" s="67"/>
      <c r="F162" s="67"/>
      <c r="G162" s="67"/>
      <c r="H162" s="67"/>
      <c r="I162" s="78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  <c r="AB162" s="67"/>
      <c r="AC162" s="67"/>
    </row>
    <row r="163" ht="15.75" customHeight="1">
      <c r="A163" s="67"/>
      <c r="B163" s="67"/>
      <c r="C163" s="67"/>
      <c r="D163" s="67"/>
      <c r="E163" s="67"/>
      <c r="F163" s="67"/>
      <c r="G163" s="67"/>
      <c r="H163" s="67"/>
      <c r="I163" s="78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  <c r="AB163" s="67"/>
      <c r="AC163" s="67"/>
    </row>
    <row r="164" ht="15.75" customHeight="1">
      <c r="A164" s="67"/>
      <c r="B164" s="67"/>
      <c r="C164" s="67"/>
      <c r="D164" s="67"/>
      <c r="E164" s="67"/>
      <c r="F164" s="67"/>
      <c r="G164" s="67"/>
      <c r="H164" s="67"/>
      <c r="I164" s="78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  <c r="AB164" s="67"/>
      <c r="AC164" s="67"/>
    </row>
    <row r="165" ht="15.75" customHeight="1">
      <c r="A165" s="67"/>
      <c r="B165" s="67"/>
      <c r="C165" s="67"/>
      <c r="D165" s="67"/>
      <c r="E165" s="67"/>
      <c r="F165" s="67"/>
      <c r="G165" s="67"/>
      <c r="H165" s="67"/>
      <c r="I165" s="78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  <c r="AB165" s="67"/>
      <c r="AC165" s="67"/>
    </row>
    <row r="166" ht="15.75" customHeight="1">
      <c r="A166" s="67"/>
      <c r="B166" s="67"/>
      <c r="C166" s="67"/>
      <c r="D166" s="67"/>
      <c r="E166" s="67"/>
      <c r="F166" s="67"/>
      <c r="G166" s="67"/>
      <c r="H166" s="67"/>
      <c r="I166" s="78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  <c r="AB166" s="67"/>
      <c r="AC166" s="67"/>
    </row>
    <row r="167" ht="15.75" customHeight="1">
      <c r="A167" s="67"/>
      <c r="B167" s="67"/>
      <c r="C167" s="67"/>
      <c r="D167" s="67"/>
      <c r="E167" s="67"/>
      <c r="F167" s="67"/>
      <c r="G167" s="67"/>
      <c r="H167" s="67"/>
      <c r="I167" s="78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7"/>
      <c r="AC167" s="67"/>
    </row>
    <row r="168" ht="15.75" customHeight="1">
      <c r="A168" s="67"/>
      <c r="B168" s="67"/>
      <c r="C168" s="67"/>
      <c r="D168" s="67"/>
      <c r="E168" s="67"/>
      <c r="F168" s="67"/>
      <c r="G168" s="67"/>
      <c r="H168" s="67"/>
      <c r="I168" s="78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  <c r="AB168" s="67"/>
      <c r="AC168" s="67"/>
    </row>
    <row r="169" ht="15.75" customHeight="1">
      <c r="A169" s="67"/>
      <c r="B169" s="67"/>
      <c r="C169" s="67"/>
      <c r="D169" s="67"/>
      <c r="E169" s="67"/>
      <c r="F169" s="67"/>
      <c r="G169" s="67"/>
      <c r="H169" s="67"/>
      <c r="I169" s="78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7"/>
      <c r="AC169" s="67"/>
    </row>
    <row r="170" ht="15.75" customHeight="1">
      <c r="A170" s="67"/>
      <c r="B170" s="67"/>
      <c r="C170" s="67"/>
      <c r="D170" s="67"/>
      <c r="E170" s="67"/>
      <c r="F170" s="67"/>
      <c r="G170" s="67"/>
      <c r="H170" s="67"/>
      <c r="I170" s="78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  <c r="AB170" s="67"/>
      <c r="AC170" s="67"/>
    </row>
    <row r="171" ht="15.75" customHeight="1">
      <c r="A171" s="67"/>
      <c r="B171" s="67"/>
      <c r="C171" s="67"/>
      <c r="D171" s="67"/>
      <c r="E171" s="67"/>
      <c r="F171" s="67"/>
      <c r="G171" s="67"/>
      <c r="H171" s="67"/>
      <c r="I171" s="78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7"/>
      <c r="AC171" s="67"/>
    </row>
    <row r="172" ht="15.75" customHeight="1">
      <c r="A172" s="67"/>
      <c r="B172" s="67"/>
      <c r="C172" s="67"/>
      <c r="D172" s="67"/>
      <c r="E172" s="67"/>
      <c r="F172" s="67"/>
      <c r="G172" s="67"/>
      <c r="H172" s="67"/>
      <c r="I172" s="78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  <c r="AB172" s="67"/>
      <c r="AC172" s="67"/>
    </row>
    <row r="173" ht="15.75" customHeight="1">
      <c r="A173" s="67"/>
      <c r="B173" s="67"/>
      <c r="C173" s="67"/>
      <c r="D173" s="67"/>
      <c r="E173" s="67"/>
      <c r="F173" s="67"/>
      <c r="G173" s="67"/>
      <c r="H173" s="67"/>
      <c r="I173" s="78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7"/>
      <c r="AC173" s="67"/>
    </row>
    <row r="174" ht="15.75" customHeight="1">
      <c r="A174" s="67"/>
      <c r="B174" s="67"/>
      <c r="C174" s="67"/>
      <c r="D174" s="67"/>
      <c r="E174" s="67"/>
      <c r="F174" s="67"/>
      <c r="G174" s="67"/>
      <c r="H174" s="67"/>
      <c r="I174" s="78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  <c r="AB174" s="67"/>
      <c r="AC174" s="67"/>
    </row>
    <row r="175" ht="15.75" customHeight="1">
      <c r="A175" s="67"/>
      <c r="B175" s="67"/>
      <c r="C175" s="67"/>
      <c r="D175" s="67"/>
      <c r="E175" s="67"/>
      <c r="F175" s="67"/>
      <c r="G175" s="67"/>
      <c r="H175" s="67"/>
      <c r="I175" s="78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  <c r="AB175" s="67"/>
      <c r="AC175" s="67"/>
    </row>
    <row r="176" ht="15.75" customHeight="1">
      <c r="A176" s="67"/>
      <c r="B176" s="67"/>
      <c r="C176" s="67"/>
      <c r="D176" s="67"/>
      <c r="E176" s="67"/>
      <c r="F176" s="67"/>
      <c r="G176" s="67"/>
      <c r="H176" s="67"/>
      <c r="I176" s="78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  <c r="AB176" s="67"/>
      <c r="AC176" s="67"/>
    </row>
    <row r="177" ht="15.75" customHeight="1">
      <c r="A177" s="67"/>
      <c r="B177" s="67"/>
      <c r="C177" s="67"/>
      <c r="D177" s="67"/>
      <c r="E177" s="67"/>
      <c r="F177" s="67"/>
      <c r="G177" s="67"/>
      <c r="H177" s="67"/>
      <c r="I177" s="78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  <c r="AB177" s="67"/>
      <c r="AC177" s="67"/>
    </row>
    <row r="178" ht="15.75" customHeight="1">
      <c r="A178" s="67"/>
      <c r="B178" s="67"/>
      <c r="C178" s="67"/>
      <c r="D178" s="67"/>
      <c r="E178" s="67"/>
      <c r="F178" s="67"/>
      <c r="G178" s="67"/>
      <c r="H178" s="67"/>
      <c r="I178" s="78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  <c r="AB178" s="67"/>
      <c r="AC178" s="67"/>
    </row>
    <row r="179" ht="15.75" customHeight="1">
      <c r="A179" s="67"/>
      <c r="B179" s="67"/>
      <c r="C179" s="67"/>
      <c r="D179" s="67"/>
      <c r="E179" s="67"/>
      <c r="F179" s="67"/>
      <c r="G179" s="67"/>
      <c r="H179" s="67"/>
      <c r="I179" s="78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  <c r="AB179" s="67"/>
      <c r="AC179" s="67"/>
    </row>
    <row r="180" ht="15.75" customHeight="1">
      <c r="A180" s="67"/>
      <c r="B180" s="67"/>
      <c r="C180" s="67"/>
      <c r="D180" s="67"/>
      <c r="E180" s="67"/>
      <c r="F180" s="67"/>
      <c r="G180" s="67"/>
      <c r="H180" s="67"/>
      <c r="I180" s="78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  <c r="AB180" s="67"/>
      <c r="AC180" s="67"/>
    </row>
    <row r="181" ht="15.75" customHeight="1">
      <c r="A181" s="67"/>
      <c r="B181" s="67"/>
      <c r="C181" s="67"/>
      <c r="D181" s="67"/>
      <c r="E181" s="67"/>
      <c r="F181" s="67"/>
      <c r="G181" s="67"/>
      <c r="H181" s="67"/>
      <c r="I181" s="78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  <c r="AB181" s="67"/>
      <c r="AC181" s="67"/>
    </row>
    <row r="182" ht="15.75" customHeight="1">
      <c r="A182" s="67"/>
      <c r="B182" s="67"/>
      <c r="C182" s="67"/>
      <c r="D182" s="67"/>
      <c r="E182" s="67"/>
      <c r="F182" s="67"/>
      <c r="G182" s="67"/>
      <c r="H182" s="67"/>
      <c r="I182" s="78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  <c r="AB182" s="67"/>
      <c r="AC182" s="67"/>
    </row>
    <row r="183" ht="15.75" customHeight="1">
      <c r="A183" s="67"/>
      <c r="B183" s="67"/>
      <c r="C183" s="67"/>
      <c r="D183" s="67"/>
      <c r="E183" s="67"/>
      <c r="F183" s="67"/>
      <c r="G183" s="67"/>
      <c r="H183" s="67"/>
      <c r="I183" s="78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  <c r="AB183" s="67"/>
      <c r="AC183" s="67"/>
    </row>
    <row r="184" ht="15.75" customHeight="1">
      <c r="A184" s="67"/>
      <c r="B184" s="67"/>
      <c r="C184" s="67"/>
      <c r="D184" s="67"/>
      <c r="E184" s="67"/>
      <c r="F184" s="67"/>
      <c r="G184" s="67"/>
      <c r="H184" s="67"/>
      <c r="I184" s="78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  <c r="AB184" s="67"/>
      <c r="AC184" s="67"/>
    </row>
    <row r="185" ht="15.75" customHeight="1">
      <c r="A185" s="67"/>
      <c r="B185" s="67"/>
      <c r="C185" s="67"/>
      <c r="D185" s="67"/>
      <c r="E185" s="67"/>
      <c r="F185" s="67"/>
      <c r="G185" s="67"/>
      <c r="H185" s="67"/>
      <c r="I185" s="78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  <c r="AB185" s="67"/>
      <c r="AC185" s="67"/>
    </row>
    <row r="186" ht="15.75" customHeight="1">
      <c r="A186" s="67"/>
      <c r="B186" s="67"/>
      <c r="C186" s="67"/>
      <c r="D186" s="67"/>
      <c r="E186" s="67"/>
      <c r="F186" s="67"/>
      <c r="G186" s="67"/>
      <c r="H186" s="67"/>
      <c r="I186" s="78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  <c r="AB186" s="67"/>
      <c r="AC186" s="67"/>
    </row>
    <row r="187" ht="15.75" customHeight="1">
      <c r="A187" s="67"/>
      <c r="B187" s="67"/>
      <c r="C187" s="67"/>
      <c r="D187" s="67"/>
      <c r="E187" s="67"/>
      <c r="F187" s="67"/>
      <c r="G187" s="67"/>
      <c r="H187" s="67"/>
      <c r="I187" s="78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  <c r="AB187" s="67"/>
      <c r="AC187" s="67"/>
    </row>
    <row r="188" ht="15.75" customHeight="1">
      <c r="A188" s="67"/>
      <c r="B188" s="67"/>
      <c r="C188" s="67"/>
      <c r="D188" s="67"/>
      <c r="E188" s="67"/>
      <c r="F188" s="67"/>
      <c r="G188" s="67"/>
      <c r="H188" s="67"/>
      <c r="I188" s="78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</row>
    <row r="189" ht="15.75" customHeight="1">
      <c r="A189" s="67"/>
      <c r="B189" s="67"/>
      <c r="C189" s="67"/>
      <c r="D189" s="67"/>
      <c r="E189" s="67"/>
      <c r="F189" s="67"/>
      <c r="G189" s="67"/>
      <c r="H189" s="67"/>
      <c r="I189" s="78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</row>
    <row r="190" ht="15.75" customHeight="1">
      <c r="A190" s="67"/>
      <c r="B190" s="67"/>
      <c r="C190" s="67"/>
      <c r="D190" s="67"/>
      <c r="E190" s="67"/>
      <c r="F190" s="67"/>
      <c r="G190" s="67"/>
      <c r="H190" s="67"/>
      <c r="I190" s="78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</row>
    <row r="191" ht="15.75" customHeight="1">
      <c r="A191" s="67"/>
      <c r="B191" s="67"/>
      <c r="C191" s="67"/>
      <c r="D191" s="67"/>
      <c r="E191" s="67"/>
      <c r="F191" s="67"/>
      <c r="G191" s="67"/>
      <c r="H191" s="67"/>
      <c r="I191" s="78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</row>
    <row r="192" ht="15.75" customHeight="1">
      <c r="A192" s="67"/>
      <c r="B192" s="67"/>
      <c r="C192" s="67"/>
      <c r="D192" s="67"/>
      <c r="E192" s="67"/>
      <c r="F192" s="67"/>
      <c r="G192" s="67"/>
      <c r="H192" s="67"/>
      <c r="I192" s="78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</row>
    <row r="193" ht="15.75" customHeight="1">
      <c r="A193" s="67"/>
      <c r="B193" s="67"/>
      <c r="C193" s="67"/>
      <c r="D193" s="67"/>
      <c r="E193" s="67"/>
      <c r="F193" s="67"/>
      <c r="G193" s="67"/>
      <c r="H193" s="67"/>
      <c r="I193" s="78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</row>
    <row r="194" ht="15.75" customHeight="1">
      <c r="A194" s="67"/>
      <c r="B194" s="67"/>
      <c r="C194" s="67"/>
      <c r="D194" s="67"/>
      <c r="E194" s="67"/>
      <c r="F194" s="67"/>
      <c r="G194" s="67"/>
      <c r="H194" s="67"/>
      <c r="I194" s="78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</row>
    <row r="195" ht="15.75" customHeight="1">
      <c r="A195" s="67"/>
      <c r="B195" s="67"/>
      <c r="C195" s="67"/>
      <c r="D195" s="67"/>
      <c r="E195" s="67"/>
      <c r="F195" s="67"/>
      <c r="G195" s="67"/>
      <c r="H195" s="67"/>
      <c r="I195" s="78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</row>
    <row r="196" ht="15.75" customHeight="1">
      <c r="A196" s="67"/>
      <c r="B196" s="67"/>
      <c r="C196" s="67"/>
      <c r="D196" s="67"/>
      <c r="E196" s="67"/>
      <c r="F196" s="67"/>
      <c r="G196" s="67"/>
      <c r="H196" s="67"/>
      <c r="I196" s="78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</row>
    <row r="197" ht="15.75" customHeight="1">
      <c r="A197" s="67"/>
      <c r="B197" s="67"/>
      <c r="C197" s="67"/>
      <c r="D197" s="67"/>
      <c r="E197" s="67"/>
      <c r="F197" s="67"/>
      <c r="G197" s="67"/>
      <c r="H197" s="67"/>
      <c r="I197" s="78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</row>
    <row r="198" ht="15.75" customHeight="1">
      <c r="A198" s="67"/>
      <c r="B198" s="67"/>
      <c r="C198" s="67"/>
      <c r="D198" s="67"/>
      <c r="E198" s="67"/>
      <c r="F198" s="67"/>
      <c r="G198" s="67"/>
      <c r="H198" s="67"/>
      <c r="I198" s="78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</row>
    <row r="199" ht="15.75" customHeight="1">
      <c r="A199" s="67"/>
      <c r="B199" s="67"/>
      <c r="C199" s="67"/>
      <c r="D199" s="67"/>
      <c r="E199" s="67"/>
      <c r="F199" s="67"/>
      <c r="G199" s="67"/>
      <c r="H199" s="67"/>
      <c r="I199" s="78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</row>
    <row r="200" ht="15.75" customHeight="1">
      <c r="A200" s="67"/>
      <c r="B200" s="67"/>
      <c r="C200" s="67"/>
      <c r="D200" s="67"/>
      <c r="E200" s="67"/>
      <c r="F200" s="67"/>
      <c r="G200" s="67"/>
      <c r="H200" s="67"/>
      <c r="I200" s="78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</row>
    <row r="201" ht="15.75" customHeight="1">
      <c r="A201" s="67"/>
      <c r="B201" s="67"/>
      <c r="C201" s="67"/>
      <c r="D201" s="67"/>
      <c r="E201" s="67"/>
      <c r="F201" s="67"/>
      <c r="G201" s="67"/>
      <c r="H201" s="67"/>
      <c r="I201" s="78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</row>
    <row r="202" ht="15.75" customHeight="1">
      <c r="A202" s="67"/>
      <c r="B202" s="67"/>
      <c r="C202" s="67"/>
      <c r="D202" s="67"/>
      <c r="E202" s="67"/>
      <c r="F202" s="67"/>
      <c r="G202" s="67"/>
      <c r="H202" s="67"/>
      <c r="I202" s="78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</row>
    <row r="203" ht="15.75" customHeight="1">
      <c r="A203" s="67"/>
      <c r="B203" s="67"/>
      <c r="C203" s="67"/>
      <c r="D203" s="67"/>
      <c r="E203" s="67"/>
      <c r="F203" s="67"/>
      <c r="G203" s="67"/>
      <c r="H203" s="67"/>
      <c r="I203" s="78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</row>
    <row r="204" ht="15.75" customHeight="1">
      <c r="A204" s="67"/>
      <c r="B204" s="67"/>
      <c r="C204" s="67"/>
      <c r="D204" s="67"/>
      <c r="E204" s="67"/>
      <c r="F204" s="67"/>
      <c r="G204" s="67"/>
      <c r="H204" s="67"/>
      <c r="I204" s="78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</row>
    <row r="205" ht="15.75" customHeight="1">
      <c r="A205" s="67"/>
      <c r="B205" s="67"/>
      <c r="C205" s="67"/>
      <c r="D205" s="67"/>
      <c r="E205" s="67"/>
      <c r="F205" s="67"/>
      <c r="G205" s="67"/>
      <c r="H205" s="67"/>
      <c r="I205" s="78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</row>
    <row r="206" ht="15.75" customHeight="1">
      <c r="A206" s="67"/>
      <c r="B206" s="67"/>
      <c r="C206" s="67"/>
      <c r="D206" s="67"/>
      <c r="E206" s="67"/>
      <c r="F206" s="67"/>
      <c r="G206" s="67"/>
      <c r="H206" s="67"/>
      <c r="I206" s="78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</row>
    <row r="207" ht="15.75" customHeight="1">
      <c r="A207" s="67"/>
      <c r="B207" s="67"/>
      <c r="C207" s="67"/>
      <c r="D207" s="67"/>
      <c r="E207" s="67"/>
      <c r="F207" s="67"/>
      <c r="G207" s="67"/>
      <c r="H207" s="67"/>
      <c r="I207" s="78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</row>
    <row r="208" ht="15.75" customHeight="1">
      <c r="A208" s="67"/>
      <c r="B208" s="67"/>
      <c r="C208" s="67"/>
      <c r="D208" s="67"/>
      <c r="E208" s="67"/>
      <c r="F208" s="67"/>
      <c r="G208" s="67"/>
      <c r="H208" s="67"/>
      <c r="I208" s="78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</row>
    <row r="209" ht="15.75" customHeight="1">
      <c r="A209" s="67"/>
      <c r="B209" s="67"/>
      <c r="C209" s="67"/>
      <c r="D209" s="67"/>
      <c r="E209" s="67"/>
      <c r="F209" s="67"/>
      <c r="G209" s="67"/>
      <c r="H209" s="67"/>
      <c r="I209" s="78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</row>
    <row r="210" ht="15.75" customHeight="1">
      <c r="A210" s="67"/>
      <c r="B210" s="67"/>
      <c r="C210" s="67"/>
      <c r="D210" s="67"/>
      <c r="E210" s="67"/>
      <c r="F210" s="67"/>
      <c r="G210" s="67"/>
      <c r="H210" s="67"/>
      <c r="I210" s="78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</row>
    <row r="211" ht="15.75" customHeight="1">
      <c r="A211" s="67"/>
      <c r="B211" s="67"/>
      <c r="C211" s="67"/>
      <c r="D211" s="67"/>
      <c r="E211" s="67"/>
      <c r="F211" s="67"/>
      <c r="G211" s="67"/>
      <c r="H211" s="67"/>
      <c r="I211" s="78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</row>
    <row r="212" ht="15.75" customHeight="1">
      <c r="A212" s="67"/>
      <c r="B212" s="67"/>
      <c r="C212" s="67"/>
      <c r="D212" s="67"/>
      <c r="E212" s="67"/>
      <c r="F212" s="67"/>
      <c r="G212" s="67"/>
      <c r="H212" s="67"/>
      <c r="I212" s="78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</row>
    <row r="213" ht="15.75" customHeight="1">
      <c r="A213" s="67"/>
      <c r="B213" s="67"/>
      <c r="C213" s="67"/>
      <c r="D213" s="67"/>
      <c r="E213" s="67"/>
      <c r="F213" s="67"/>
      <c r="G213" s="67"/>
      <c r="H213" s="67"/>
      <c r="I213" s="78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</row>
    <row r="214" ht="15.75" customHeight="1">
      <c r="A214" s="67"/>
      <c r="B214" s="67"/>
      <c r="C214" s="67"/>
      <c r="D214" s="67"/>
      <c r="E214" s="67"/>
      <c r="F214" s="67"/>
      <c r="G214" s="67"/>
      <c r="H214" s="67"/>
      <c r="I214" s="78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67"/>
    </row>
    <row r="215" ht="15.75" customHeight="1">
      <c r="A215" s="67"/>
      <c r="B215" s="67"/>
      <c r="C215" s="67"/>
      <c r="D215" s="67"/>
      <c r="E215" s="67"/>
      <c r="F215" s="67"/>
      <c r="G215" s="67"/>
      <c r="H215" s="67"/>
      <c r="I215" s="78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</row>
    <row r="216" ht="15.75" customHeight="1">
      <c r="A216" s="67"/>
      <c r="B216" s="67"/>
      <c r="C216" s="67"/>
      <c r="D216" s="67"/>
      <c r="E216" s="67"/>
      <c r="F216" s="67"/>
      <c r="G216" s="67"/>
      <c r="H216" s="67"/>
      <c r="I216" s="78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</row>
    <row r="217" ht="15.75" customHeight="1">
      <c r="A217" s="67"/>
      <c r="B217" s="67"/>
      <c r="C217" s="67"/>
      <c r="D217" s="67"/>
      <c r="E217" s="67"/>
      <c r="F217" s="67"/>
      <c r="G217" s="67"/>
      <c r="H217" s="67"/>
      <c r="I217" s="78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</row>
    <row r="218" ht="15.75" customHeight="1">
      <c r="A218" s="67"/>
      <c r="B218" s="67"/>
      <c r="C218" s="67"/>
      <c r="D218" s="67"/>
      <c r="E218" s="67"/>
      <c r="F218" s="67"/>
      <c r="G218" s="67"/>
      <c r="H218" s="67"/>
      <c r="I218" s="78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67"/>
    </row>
    <row r="219" ht="15.75" customHeight="1">
      <c r="A219" s="67"/>
      <c r="B219" s="67"/>
      <c r="C219" s="67"/>
      <c r="D219" s="67"/>
      <c r="E219" s="67"/>
      <c r="F219" s="67"/>
      <c r="G219" s="67"/>
      <c r="H219" s="67"/>
      <c r="I219" s="78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</row>
    <row r="220" ht="15.75" customHeight="1">
      <c r="A220" s="67"/>
      <c r="B220" s="67"/>
      <c r="C220" s="67"/>
      <c r="D220" s="67"/>
      <c r="E220" s="67"/>
      <c r="F220" s="67"/>
      <c r="G220" s="67"/>
      <c r="H220" s="67"/>
      <c r="I220" s="78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67"/>
    </row>
    <row r="221" ht="15.75" customHeight="1">
      <c r="A221" s="67"/>
      <c r="B221" s="67"/>
      <c r="C221" s="67"/>
      <c r="D221" s="67"/>
      <c r="E221" s="67"/>
      <c r="F221" s="67"/>
      <c r="G221" s="67"/>
      <c r="H221" s="67"/>
      <c r="I221" s="78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</row>
    <row r="222" ht="15.75" customHeight="1">
      <c r="A222" s="67"/>
      <c r="B222" s="67"/>
      <c r="C222" s="67"/>
      <c r="D222" s="67"/>
      <c r="E222" s="67"/>
      <c r="F222" s="67"/>
      <c r="G222" s="67"/>
      <c r="H222" s="67"/>
      <c r="I222" s="78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67"/>
    </row>
    <row r="223" ht="15.75" customHeight="1">
      <c r="A223" s="67"/>
      <c r="B223" s="67"/>
      <c r="C223" s="67"/>
      <c r="D223" s="67"/>
      <c r="E223" s="67"/>
      <c r="F223" s="67"/>
      <c r="G223" s="67"/>
      <c r="H223" s="67"/>
      <c r="I223" s="78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</row>
    <row r="224" ht="15.75" customHeight="1">
      <c r="A224" s="67"/>
      <c r="B224" s="67"/>
      <c r="C224" s="67"/>
      <c r="D224" s="67"/>
      <c r="E224" s="67"/>
      <c r="F224" s="67"/>
      <c r="G224" s="67"/>
      <c r="H224" s="67"/>
      <c r="I224" s="78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</row>
    <row r="225" ht="15.75" customHeight="1">
      <c r="A225" s="67"/>
      <c r="B225" s="67"/>
      <c r="C225" s="67"/>
      <c r="D225" s="67"/>
      <c r="E225" s="67"/>
      <c r="F225" s="67"/>
      <c r="G225" s="67"/>
      <c r="H225" s="67"/>
      <c r="I225" s="78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</row>
    <row r="226" ht="15.75" customHeight="1">
      <c r="A226" s="67"/>
      <c r="B226" s="67"/>
      <c r="C226" s="67"/>
      <c r="D226" s="67"/>
      <c r="E226" s="67"/>
      <c r="F226" s="67"/>
      <c r="G226" s="67"/>
      <c r="H226" s="67"/>
      <c r="I226" s="78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67"/>
    </row>
    <row r="227" ht="15.75" customHeight="1">
      <c r="A227" s="67"/>
      <c r="B227" s="67"/>
      <c r="C227" s="67"/>
      <c r="D227" s="67"/>
      <c r="E227" s="67"/>
      <c r="F227" s="67"/>
      <c r="G227" s="67"/>
      <c r="H227" s="67"/>
      <c r="I227" s="78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  <c r="AB227" s="67"/>
      <c r="AC227" s="67"/>
    </row>
    <row r="228" ht="15.75" customHeight="1">
      <c r="A228" s="67"/>
      <c r="B228" s="67"/>
      <c r="C228" s="67"/>
      <c r="D228" s="67"/>
      <c r="E228" s="67"/>
      <c r="F228" s="67"/>
      <c r="G228" s="67"/>
      <c r="H228" s="67"/>
      <c r="I228" s="78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  <c r="AB228" s="67"/>
      <c r="AC228" s="67"/>
    </row>
    <row r="229" ht="15.75" customHeight="1">
      <c r="A229" s="67"/>
      <c r="B229" s="67"/>
      <c r="C229" s="67"/>
      <c r="D229" s="67"/>
      <c r="E229" s="67"/>
      <c r="F229" s="67"/>
      <c r="G229" s="67"/>
      <c r="H229" s="67"/>
      <c r="I229" s="78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  <c r="AB229" s="67"/>
      <c r="AC229" s="67"/>
    </row>
    <row r="230" ht="15.75" customHeight="1">
      <c r="A230" s="67"/>
      <c r="B230" s="67"/>
      <c r="C230" s="67"/>
      <c r="D230" s="67"/>
      <c r="E230" s="67"/>
      <c r="F230" s="67"/>
      <c r="G230" s="67"/>
      <c r="H230" s="67"/>
      <c r="I230" s="78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  <c r="AB230" s="67"/>
      <c r="AC230" s="67"/>
    </row>
    <row r="231" ht="15.75" customHeight="1">
      <c r="A231" s="67"/>
      <c r="B231" s="67"/>
      <c r="C231" s="67"/>
      <c r="D231" s="67"/>
      <c r="E231" s="67"/>
      <c r="F231" s="67"/>
      <c r="G231" s="67"/>
      <c r="H231" s="67"/>
      <c r="I231" s="78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  <c r="AB231" s="67"/>
      <c r="AC231" s="67"/>
    </row>
    <row r="232" ht="15.75" customHeight="1">
      <c r="A232" s="67"/>
      <c r="B232" s="67"/>
      <c r="C232" s="67"/>
      <c r="D232" s="67"/>
      <c r="E232" s="67"/>
      <c r="F232" s="67"/>
      <c r="G232" s="67"/>
      <c r="H232" s="67"/>
      <c r="I232" s="78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  <c r="AB232" s="67"/>
      <c r="AC232" s="67"/>
    </row>
    <row r="233" ht="15.75" customHeight="1">
      <c r="A233" s="67"/>
      <c r="B233" s="67"/>
      <c r="C233" s="67"/>
      <c r="D233" s="67"/>
      <c r="E233" s="67"/>
      <c r="F233" s="67"/>
      <c r="G233" s="67"/>
      <c r="H233" s="67"/>
      <c r="I233" s="78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  <c r="AB233" s="67"/>
      <c r="AC233" s="67"/>
    </row>
    <row r="234" ht="15.75" customHeight="1">
      <c r="A234" s="67"/>
      <c r="B234" s="67"/>
      <c r="C234" s="67"/>
      <c r="D234" s="67"/>
      <c r="E234" s="67"/>
      <c r="F234" s="67"/>
      <c r="G234" s="67"/>
      <c r="H234" s="67"/>
      <c r="I234" s="78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  <c r="AB234" s="67"/>
      <c r="AC234" s="67"/>
    </row>
    <row r="235" ht="15.75" customHeight="1">
      <c r="A235" s="67"/>
      <c r="B235" s="67"/>
      <c r="C235" s="67"/>
      <c r="D235" s="67"/>
      <c r="E235" s="67"/>
      <c r="F235" s="67"/>
      <c r="G235" s="67"/>
      <c r="H235" s="67"/>
      <c r="I235" s="78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  <c r="AB235" s="67"/>
      <c r="AC235" s="67"/>
    </row>
    <row r="236" ht="15.75" customHeight="1">
      <c r="A236" s="67"/>
      <c r="B236" s="67"/>
      <c r="C236" s="67"/>
      <c r="D236" s="67"/>
      <c r="E236" s="67"/>
      <c r="F236" s="67"/>
      <c r="G236" s="67"/>
      <c r="H236" s="67"/>
      <c r="I236" s="78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  <c r="AB236" s="67"/>
      <c r="AC236" s="67"/>
    </row>
    <row r="237" ht="15.75" customHeight="1">
      <c r="A237" s="67"/>
      <c r="B237" s="67"/>
      <c r="C237" s="67"/>
      <c r="D237" s="67"/>
      <c r="E237" s="67"/>
      <c r="F237" s="67"/>
      <c r="G237" s="67"/>
      <c r="H237" s="67"/>
      <c r="I237" s="78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  <c r="AB237" s="67"/>
      <c r="AC237" s="67"/>
    </row>
    <row r="238" ht="15.75" customHeight="1">
      <c r="A238" s="67"/>
      <c r="B238" s="67"/>
      <c r="C238" s="67"/>
      <c r="D238" s="67"/>
      <c r="E238" s="67"/>
      <c r="F238" s="67"/>
      <c r="G238" s="67"/>
      <c r="H238" s="67"/>
      <c r="I238" s="78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  <c r="AB238" s="67"/>
      <c r="AC238" s="67"/>
    </row>
    <row r="239" ht="15.75" customHeight="1">
      <c r="A239" s="67"/>
      <c r="B239" s="67"/>
      <c r="C239" s="67"/>
      <c r="D239" s="67"/>
      <c r="E239" s="67"/>
      <c r="F239" s="67"/>
      <c r="G239" s="67"/>
      <c r="H239" s="67"/>
      <c r="I239" s="78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</row>
    <row r="240" ht="15.75" customHeight="1">
      <c r="A240" s="67"/>
      <c r="B240" s="67"/>
      <c r="C240" s="67"/>
      <c r="D240" s="67"/>
      <c r="E240" s="67"/>
      <c r="F240" s="67"/>
      <c r="G240" s="67"/>
      <c r="H240" s="67"/>
      <c r="I240" s="78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  <c r="AB240" s="67"/>
      <c r="AC240" s="67"/>
    </row>
    <row r="241" ht="15.75" customHeight="1">
      <c r="A241" s="67"/>
      <c r="B241" s="67"/>
      <c r="C241" s="67"/>
      <c r="D241" s="67"/>
      <c r="E241" s="67"/>
      <c r="F241" s="67"/>
      <c r="G241" s="67"/>
      <c r="H241" s="67"/>
      <c r="I241" s="78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  <c r="AB241" s="67"/>
      <c r="AC241" s="67"/>
    </row>
    <row r="242" ht="15.75" customHeight="1">
      <c r="A242" s="67"/>
      <c r="B242" s="67"/>
      <c r="C242" s="67"/>
      <c r="D242" s="67"/>
      <c r="E242" s="67"/>
      <c r="F242" s="67"/>
      <c r="G242" s="67"/>
      <c r="H242" s="67"/>
      <c r="I242" s="78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  <c r="AB242" s="67"/>
      <c r="AC242" s="67"/>
    </row>
    <row r="243" ht="15.75" customHeight="1">
      <c r="A243" s="67"/>
      <c r="B243" s="67"/>
      <c r="C243" s="67"/>
      <c r="D243" s="67"/>
      <c r="E243" s="67"/>
      <c r="F243" s="67"/>
      <c r="G243" s="67"/>
      <c r="H243" s="67"/>
      <c r="I243" s="78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  <c r="AB243" s="67"/>
      <c r="AC243" s="67"/>
    </row>
    <row r="244" ht="15.75" customHeight="1">
      <c r="A244" s="67"/>
      <c r="B244" s="67"/>
      <c r="C244" s="67"/>
      <c r="D244" s="67"/>
      <c r="E244" s="67"/>
      <c r="F244" s="67"/>
      <c r="G244" s="67"/>
      <c r="H244" s="67"/>
      <c r="I244" s="78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  <c r="AB244" s="67"/>
      <c r="AC244" s="67"/>
    </row>
    <row r="245" ht="15.75" customHeight="1">
      <c r="A245" s="67"/>
      <c r="B245" s="67"/>
      <c r="C245" s="67"/>
      <c r="D245" s="67"/>
      <c r="E245" s="67"/>
      <c r="F245" s="67"/>
      <c r="G245" s="67"/>
      <c r="H245" s="67"/>
      <c r="I245" s="78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</row>
    <row r="246" ht="15.75" customHeight="1">
      <c r="A246" s="67"/>
      <c r="B246" s="67"/>
      <c r="C246" s="67"/>
      <c r="D246" s="67"/>
      <c r="E246" s="67"/>
      <c r="F246" s="67"/>
      <c r="G246" s="67"/>
      <c r="H246" s="67"/>
      <c r="I246" s="78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67"/>
    </row>
    <row r="247" ht="15.75" customHeight="1">
      <c r="A247" s="67"/>
      <c r="B247" s="67"/>
      <c r="C247" s="67"/>
      <c r="D247" s="67"/>
      <c r="E247" s="67"/>
      <c r="F247" s="67"/>
      <c r="G247" s="67"/>
      <c r="H247" s="67"/>
      <c r="I247" s="78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</row>
    <row r="248" ht="15.75" customHeight="1">
      <c r="A248" s="67"/>
      <c r="B248" s="67"/>
      <c r="C248" s="67"/>
      <c r="D248" s="67"/>
      <c r="E248" s="67"/>
      <c r="F248" s="67"/>
      <c r="G248" s="67"/>
      <c r="H248" s="67"/>
      <c r="I248" s="78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  <c r="AB248" s="67"/>
      <c r="AC248" s="67"/>
    </row>
    <row r="249" ht="15.75" customHeight="1">
      <c r="A249" s="67"/>
      <c r="B249" s="67"/>
      <c r="C249" s="67"/>
      <c r="D249" s="67"/>
      <c r="E249" s="67"/>
      <c r="F249" s="67"/>
      <c r="G249" s="67"/>
      <c r="H249" s="67"/>
      <c r="I249" s="78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  <c r="AB249" s="67"/>
      <c r="AC249" s="67"/>
    </row>
    <row r="250" ht="15.75" customHeight="1">
      <c r="A250" s="67"/>
      <c r="B250" s="67"/>
      <c r="C250" s="67"/>
      <c r="D250" s="67"/>
      <c r="E250" s="67"/>
      <c r="F250" s="67"/>
      <c r="G250" s="67"/>
      <c r="H250" s="67"/>
      <c r="I250" s="78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  <c r="AB250" s="67"/>
      <c r="AC250" s="67"/>
    </row>
    <row r="251" ht="15.75" customHeight="1">
      <c r="A251" s="67"/>
      <c r="B251" s="67"/>
      <c r="C251" s="67"/>
      <c r="D251" s="67"/>
      <c r="E251" s="67"/>
      <c r="F251" s="67"/>
      <c r="G251" s="67"/>
      <c r="H251" s="67"/>
      <c r="I251" s="78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  <c r="AB251" s="67"/>
      <c r="AC251" s="67"/>
    </row>
    <row r="252" ht="15.75" customHeight="1">
      <c r="A252" s="67"/>
      <c r="B252" s="67"/>
      <c r="C252" s="67"/>
      <c r="D252" s="67"/>
      <c r="E252" s="67"/>
      <c r="F252" s="67"/>
      <c r="G252" s="67"/>
      <c r="H252" s="67"/>
      <c r="I252" s="78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  <c r="AB252" s="67"/>
      <c r="AC252" s="67"/>
    </row>
    <row r="253" ht="15.75" customHeight="1">
      <c r="A253" s="67"/>
      <c r="B253" s="67"/>
      <c r="C253" s="67"/>
      <c r="D253" s="67"/>
      <c r="E253" s="67"/>
      <c r="F253" s="67"/>
      <c r="G253" s="67"/>
      <c r="H253" s="67"/>
      <c r="I253" s="78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  <c r="AB253" s="67"/>
      <c r="AC253" s="67"/>
    </row>
    <row r="254" ht="15.75" customHeight="1">
      <c r="A254" s="67"/>
      <c r="B254" s="67"/>
      <c r="C254" s="67"/>
      <c r="D254" s="67"/>
      <c r="E254" s="67"/>
      <c r="F254" s="67"/>
      <c r="G254" s="67"/>
      <c r="H254" s="67"/>
      <c r="I254" s="78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  <c r="AB254" s="67"/>
      <c r="AC254" s="67"/>
    </row>
    <row r="255" ht="15.75" customHeight="1">
      <c r="A255" s="67"/>
      <c r="B255" s="67"/>
      <c r="C255" s="67"/>
      <c r="D255" s="67"/>
      <c r="E255" s="67"/>
      <c r="F255" s="67"/>
      <c r="G255" s="67"/>
      <c r="H255" s="67"/>
      <c r="I255" s="78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  <c r="AB255" s="67"/>
      <c r="AC255" s="67"/>
    </row>
    <row r="256" ht="15.75" customHeight="1">
      <c r="A256" s="67"/>
      <c r="B256" s="67"/>
      <c r="C256" s="67"/>
      <c r="D256" s="67"/>
      <c r="E256" s="67"/>
      <c r="F256" s="67"/>
      <c r="G256" s="67"/>
      <c r="H256" s="67"/>
      <c r="I256" s="78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  <c r="AB256" s="67"/>
      <c r="AC256" s="67"/>
    </row>
    <row r="257" ht="15.75" customHeight="1">
      <c r="A257" s="67"/>
      <c r="B257" s="67"/>
      <c r="C257" s="67"/>
      <c r="D257" s="67"/>
      <c r="E257" s="67"/>
      <c r="F257" s="67"/>
      <c r="G257" s="67"/>
      <c r="H257" s="67"/>
      <c r="I257" s="78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  <c r="AB257" s="67"/>
      <c r="AC257" s="67"/>
    </row>
    <row r="258" ht="15.75" customHeight="1">
      <c r="A258" s="67"/>
      <c r="B258" s="67"/>
      <c r="C258" s="67"/>
      <c r="D258" s="67"/>
      <c r="E258" s="67"/>
      <c r="F258" s="67"/>
      <c r="G258" s="67"/>
      <c r="H258" s="67"/>
      <c r="I258" s="78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  <c r="AB258" s="67"/>
      <c r="AC258" s="67"/>
    </row>
    <row r="259" ht="15.75" customHeight="1">
      <c r="A259" s="67"/>
      <c r="B259" s="67"/>
      <c r="C259" s="67"/>
      <c r="D259" s="67"/>
      <c r="E259" s="67"/>
      <c r="F259" s="67"/>
      <c r="G259" s="67"/>
      <c r="H259" s="67"/>
      <c r="I259" s="78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</row>
    <row r="260" ht="15.75" customHeight="1">
      <c r="A260" s="67"/>
      <c r="B260" s="67"/>
      <c r="C260" s="67"/>
      <c r="D260" s="67"/>
      <c r="E260" s="67"/>
      <c r="F260" s="67"/>
      <c r="G260" s="67"/>
      <c r="H260" s="67"/>
      <c r="I260" s="78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  <c r="AB260" s="67"/>
      <c r="AC260" s="67"/>
    </row>
    <row r="261" ht="15.75" customHeight="1">
      <c r="A261" s="67"/>
      <c r="B261" s="67"/>
      <c r="C261" s="67"/>
      <c r="D261" s="67"/>
      <c r="E261" s="67"/>
      <c r="F261" s="67"/>
      <c r="G261" s="67"/>
      <c r="H261" s="67"/>
      <c r="I261" s="78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  <c r="AB261" s="67"/>
      <c r="AC261" s="67"/>
    </row>
    <row r="262" ht="15.75" customHeight="1">
      <c r="A262" s="67"/>
      <c r="B262" s="67"/>
      <c r="C262" s="67"/>
      <c r="D262" s="67"/>
      <c r="E262" s="67"/>
      <c r="F262" s="67"/>
      <c r="G262" s="67"/>
      <c r="H262" s="67"/>
      <c r="I262" s="78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  <c r="AB262" s="67"/>
      <c r="AC262" s="67"/>
    </row>
    <row r="263" ht="15.75" customHeight="1">
      <c r="A263" s="67"/>
      <c r="B263" s="67"/>
      <c r="C263" s="67"/>
      <c r="D263" s="67"/>
      <c r="E263" s="67"/>
      <c r="F263" s="67"/>
      <c r="G263" s="67"/>
      <c r="H263" s="67"/>
      <c r="I263" s="78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  <c r="AB263" s="67"/>
      <c r="AC263" s="67"/>
    </row>
    <row r="264" ht="15.75" customHeight="1">
      <c r="A264" s="67"/>
      <c r="B264" s="67"/>
      <c r="C264" s="67"/>
      <c r="D264" s="67"/>
      <c r="E264" s="67"/>
      <c r="F264" s="67"/>
      <c r="G264" s="67"/>
      <c r="H264" s="67"/>
      <c r="I264" s="78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  <c r="AB264" s="67"/>
      <c r="AC264" s="67"/>
    </row>
    <row r="265" ht="15.75" customHeight="1">
      <c r="A265" s="67"/>
      <c r="B265" s="67"/>
      <c r="C265" s="67"/>
      <c r="D265" s="67"/>
      <c r="E265" s="67"/>
      <c r="F265" s="67"/>
      <c r="G265" s="67"/>
      <c r="H265" s="67"/>
      <c r="I265" s="78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  <c r="AB265" s="67"/>
      <c r="AC265" s="67"/>
    </row>
    <row r="266" ht="15.75" customHeight="1">
      <c r="A266" s="67"/>
      <c r="B266" s="67"/>
      <c r="C266" s="67"/>
      <c r="D266" s="67"/>
      <c r="E266" s="67"/>
      <c r="F266" s="67"/>
      <c r="G266" s="67"/>
      <c r="H266" s="67"/>
      <c r="I266" s="78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  <c r="AB266" s="67"/>
      <c r="AC266" s="67"/>
    </row>
    <row r="267" ht="15.75" customHeight="1">
      <c r="A267" s="67"/>
      <c r="B267" s="67"/>
      <c r="C267" s="67"/>
      <c r="D267" s="67"/>
      <c r="E267" s="67"/>
      <c r="F267" s="67"/>
      <c r="G267" s="67"/>
      <c r="H267" s="67"/>
      <c r="I267" s="78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  <c r="AB267" s="67"/>
      <c r="AC267" s="67"/>
    </row>
    <row r="268" ht="15.75" customHeight="1">
      <c r="A268" s="67"/>
      <c r="B268" s="67"/>
      <c r="C268" s="67"/>
      <c r="D268" s="67"/>
      <c r="E268" s="67"/>
      <c r="F268" s="67"/>
      <c r="G268" s="67"/>
      <c r="H268" s="67"/>
      <c r="I268" s="78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  <c r="AB268" s="67"/>
      <c r="AC268" s="67"/>
    </row>
    <row r="269" ht="15.75" customHeight="1">
      <c r="A269" s="67"/>
      <c r="B269" s="67"/>
      <c r="C269" s="67"/>
      <c r="D269" s="67"/>
      <c r="E269" s="67"/>
      <c r="F269" s="67"/>
      <c r="G269" s="67"/>
      <c r="H269" s="67"/>
      <c r="I269" s="78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  <c r="AB269" s="67"/>
      <c r="AC269" s="67"/>
    </row>
    <row r="270" ht="15.75" customHeight="1">
      <c r="A270" s="67"/>
      <c r="B270" s="67"/>
      <c r="C270" s="67"/>
      <c r="D270" s="67"/>
      <c r="E270" s="67"/>
      <c r="F270" s="67"/>
      <c r="G270" s="67"/>
      <c r="H270" s="67"/>
      <c r="I270" s="78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  <c r="AB270" s="67"/>
      <c r="AC270" s="67"/>
    </row>
    <row r="271" ht="15.75" customHeight="1">
      <c r="A271" s="67"/>
      <c r="B271" s="67"/>
      <c r="C271" s="67"/>
      <c r="D271" s="67"/>
      <c r="E271" s="67"/>
      <c r="F271" s="67"/>
      <c r="G271" s="67"/>
      <c r="H271" s="67"/>
      <c r="I271" s="78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</row>
    <row r="272" ht="15.75" customHeight="1">
      <c r="A272" s="67"/>
      <c r="B272" s="67"/>
      <c r="C272" s="67"/>
      <c r="D272" s="67"/>
      <c r="E272" s="67"/>
      <c r="F272" s="67"/>
      <c r="G272" s="67"/>
      <c r="H272" s="67"/>
      <c r="I272" s="78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  <c r="AB272" s="67"/>
      <c r="AC272" s="67"/>
    </row>
    <row r="273" ht="15.75" customHeight="1">
      <c r="A273" s="67"/>
      <c r="B273" s="67"/>
      <c r="C273" s="67"/>
      <c r="D273" s="67"/>
      <c r="E273" s="67"/>
      <c r="F273" s="67"/>
      <c r="G273" s="67"/>
      <c r="H273" s="67"/>
      <c r="I273" s="78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</row>
    <row r="274" ht="15.75" customHeight="1">
      <c r="A274" s="67"/>
      <c r="B274" s="67"/>
      <c r="C274" s="67"/>
      <c r="D274" s="67"/>
      <c r="E274" s="67"/>
      <c r="F274" s="67"/>
      <c r="G274" s="67"/>
      <c r="H274" s="67"/>
      <c r="I274" s="78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  <c r="AB274" s="67"/>
      <c r="AC274" s="67"/>
    </row>
    <row r="275" ht="15.75" customHeight="1">
      <c r="A275" s="67"/>
      <c r="B275" s="67"/>
      <c r="C275" s="67"/>
      <c r="D275" s="67"/>
      <c r="E275" s="67"/>
      <c r="F275" s="67"/>
      <c r="G275" s="67"/>
      <c r="H275" s="67"/>
      <c r="I275" s="78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</row>
    <row r="276" ht="15.75" customHeight="1">
      <c r="A276" s="67"/>
      <c r="B276" s="67"/>
      <c r="C276" s="67"/>
      <c r="D276" s="67"/>
      <c r="E276" s="67"/>
      <c r="F276" s="67"/>
      <c r="G276" s="67"/>
      <c r="H276" s="67"/>
      <c r="I276" s="78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  <c r="AB276" s="67"/>
      <c r="AC276" s="67"/>
    </row>
    <row r="277" ht="15.75" customHeight="1">
      <c r="A277" s="67"/>
      <c r="B277" s="67"/>
      <c r="C277" s="67"/>
      <c r="D277" s="67"/>
      <c r="E277" s="67"/>
      <c r="F277" s="67"/>
      <c r="G277" s="67"/>
      <c r="H277" s="67"/>
      <c r="I277" s="78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</row>
    <row r="278" ht="15.75" customHeight="1">
      <c r="A278" s="67"/>
      <c r="B278" s="67"/>
      <c r="C278" s="67"/>
      <c r="D278" s="67"/>
      <c r="E278" s="67"/>
      <c r="F278" s="67"/>
      <c r="G278" s="67"/>
      <c r="H278" s="67"/>
      <c r="I278" s="78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  <c r="AB278" s="67"/>
      <c r="AC278" s="67"/>
    </row>
    <row r="279" ht="15.75" customHeight="1">
      <c r="A279" s="67"/>
      <c r="B279" s="67"/>
      <c r="C279" s="67"/>
      <c r="D279" s="67"/>
      <c r="E279" s="67"/>
      <c r="F279" s="67"/>
      <c r="G279" s="67"/>
      <c r="H279" s="67"/>
      <c r="I279" s="78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</row>
    <row r="280" ht="15.75" customHeight="1">
      <c r="A280" s="67"/>
      <c r="B280" s="67"/>
      <c r="C280" s="67"/>
      <c r="D280" s="67"/>
      <c r="E280" s="67"/>
      <c r="F280" s="67"/>
      <c r="G280" s="67"/>
      <c r="H280" s="67"/>
      <c r="I280" s="78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  <c r="AB280" s="67"/>
      <c r="AC280" s="67"/>
    </row>
    <row r="281" ht="15.75" customHeight="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</row>
    <row r="282" ht="15.75" customHeight="1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</row>
    <row r="283" ht="15.75" customHeight="1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</row>
    <row r="284" ht="15.75" customHeight="1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</row>
    <row r="285" ht="15.75" customHeight="1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</row>
    <row r="286" ht="15.75" customHeight="1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</row>
    <row r="287" ht="15.75" customHeight="1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</row>
    <row r="288" ht="15.75" customHeight="1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</row>
    <row r="289" ht="15.75" customHeight="1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</row>
    <row r="290" ht="15.75" customHeight="1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</row>
    <row r="291" ht="15.75" customHeight="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</row>
    <row r="292" ht="15.75" customHeight="1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</row>
    <row r="293" ht="15.75" customHeight="1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</row>
    <row r="294" ht="15.75" customHeight="1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</row>
    <row r="295" ht="15.75" customHeight="1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</row>
    <row r="296" ht="15.75" customHeight="1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</row>
    <row r="297" ht="15.75" customHeight="1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</row>
    <row r="298" ht="15.75" customHeight="1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</row>
    <row r="299" ht="15.75" customHeight="1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</row>
    <row r="300" ht="15.75" customHeight="1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</row>
    <row r="301" ht="15.75" customHeight="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</row>
    <row r="302" ht="15.75" customHeight="1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</row>
    <row r="303" ht="15.75" customHeight="1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</row>
    <row r="304" ht="15.75" customHeight="1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</row>
    <row r="305" ht="15.75" customHeight="1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</row>
    <row r="306" ht="15.75" customHeight="1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</row>
    <row r="307" ht="15.75" customHeight="1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</row>
    <row r="308" ht="15.75" customHeight="1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</row>
    <row r="309" ht="15.75" customHeight="1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</row>
    <row r="310" ht="15.75" customHeight="1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</row>
    <row r="311" ht="15.75" customHeight="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</row>
    <row r="312" ht="15.75" customHeight="1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</row>
    <row r="313" ht="15.75" customHeight="1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</row>
    <row r="314" ht="15.75" customHeight="1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</row>
    <row r="315" ht="15.75" customHeight="1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</row>
    <row r="316" ht="15.75" customHeight="1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</row>
    <row r="317" ht="15.75" customHeight="1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</row>
    <row r="318" ht="15.75" customHeight="1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</row>
    <row r="319" ht="15.75" customHeight="1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</row>
    <row r="320" ht="15.75" customHeight="1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</row>
    <row r="321" ht="15.75" customHeight="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</row>
    <row r="322" ht="15.75" customHeight="1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</row>
    <row r="323" ht="15.75" customHeight="1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</row>
    <row r="324" ht="15.75" customHeight="1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</row>
    <row r="325" ht="15.75" customHeight="1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</row>
    <row r="326" ht="15.75" customHeight="1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</row>
    <row r="327" ht="15.75" customHeight="1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</row>
    <row r="328" ht="15.75" customHeight="1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</row>
    <row r="329" ht="15.75" customHeight="1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</row>
    <row r="330" ht="15.75" customHeight="1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</row>
    <row r="331" ht="15.75" customHeight="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</row>
    <row r="332" ht="15.75" customHeight="1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</row>
    <row r="333" ht="15.75" customHeight="1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</row>
    <row r="334" ht="15.75" customHeight="1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</row>
    <row r="335" ht="15.75" customHeight="1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</row>
    <row r="336" ht="15.75" customHeight="1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</row>
    <row r="337" ht="15.75" customHeight="1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</row>
    <row r="338" ht="15.75" customHeight="1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</row>
    <row r="339" ht="15.75" customHeight="1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</row>
    <row r="340" ht="15.75" customHeight="1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</row>
    <row r="341" ht="15.75" customHeight="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</row>
    <row r="342" ht="15.75" customHeight="1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</row>
    <row r="343" ht="15.75" customHeight="1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</row>
    <row r="344" ht="15.75" customHeight="1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</row>
    <row r="345" ht="15.75" customHeight="1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</row>
    <row r="346" ht="15.75" customHeight="1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</row>
    <row r="347" ht="15.75" customHeight="1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</row>
    <row r="348" ht="15.75" customHeight="1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</row>
    <row r="349" ht="15.75" customHeight="1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</row>
    <row r="350" ht="15.75" customHeight="1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</row>
    <row r="351" ht="15.75" customHeight="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</row>
    <row r="352" ht="15.75" customHeight="1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</row>
    <row r="353" ht="15.75" customHeight="1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</row>
    <row r="354" ht="15.75" customHeight="1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</row>
    <row r="355" ht="15.75" customHeight="1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</row>
    <row r="356" ht="15.75" customHeight="1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</row>
    <row r="357" ht="15.75" customHeight="1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</row>
    <row r="358" ht="15.75" customHeight="1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</row>
    <row r="359" ht="15.75" customHeight="1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</row>
    <row r="360" ht="15.75" customHeight="1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</row>
    <row r="361" ht="15.75" customHeight="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</row>
    <row r="362" ht="15.75" customHeight="1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</row>
    <row r="363" ht="15.75" customHeight="1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</row>
    <row r="364" ht="15.75" customHeight="1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</row>
    <row r="365" ht="15.75" customHeight="1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</row>
    <row r="366" ht="15.75" customHeight="1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</row>
    <row r="367" ht="15.75" customHeight="1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</row>
    <row r="368" ht="15.75" customHeight="1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</row>
    <row r="369" ht="15.75" customHeight="1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</row>
    <row r="370" ht="15.75" customHeight="1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</row>
    <row r="371" ht="15.75" customHeight="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</row>
    <row r="372" ht="15.75" customHeight="1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</row>
    <row r="373" ht="15.75" customHeight="1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</row>
    <row r="374" ht="15.75" customHeight="1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</row>
    <row r="375" ht="15.75" customHeight="1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</row>
    <row r="376" ht="15.75" customHeight="1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</row>
    <row r="377" ht="15.75" customHeight="1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</row>
    <row r="378" ht="15.75" customHeight="1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</row>
    <row r="379" ht="15.75" customHeight="1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</row>
    <row r="380" ht="15.75" customHeight="1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</row>
    <row r="381" ht="15.75" customHeight="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</row>
    <row r="382" ht="15.75" customHeight="1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</row>
    <row r="383" ht="15.75" customHeight="1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</row>
    <row r="384" ht="15.75" customHeight="1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</row>
    <row r="385" ht="15.75" customHeight="1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</row>
    <row r="386" ht="15.75" customHeight="1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</row>
    <row r="387" ht="15.75" customHeight="1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</row>
    <row r="388" ht="15.75" customHeight="1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</row>
    <row r="389" ht="15.75" customHeight="1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</row>
    <row r="390" ht="15.75" customHeight="1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</row>
    <row r="391" ht="15.75" customHeight="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</row>
    <row r="392" ht="15.75" customHeight="1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</row>
    <row r="393" ht="15.75" customHeight="1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</row>
    <row r="394" ht="15.75" customHeight="1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</row>
    <row r="395" ht="15.75" customHeight="1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</row>
    <row r="396" ht="15.75" customHeight="1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</row>
    <row r="397" ht="15.75" customHeight="1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</row>
    <row r="398" ht="15.75" customHeight="1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</row>
    <row r="399" ht="15.75" customHeight="1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</row>
    <row r="400" ht="15.75" customHeight="1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</row>
    <row r="401" ht="15.75" customHeight="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</row>
    <row r="402" ht="15.75" customHeight="1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</row>
    <row r="403" ht="15.75" customHeight="1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</row>
    <row r="404" ht="15.75" customHeight="1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</row>
    <row r="405" ht="15.75" customHeight="1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</row>
    <row r="406" ht="15.75" customHeight="1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</row>
    <row r="407" ht="15.75" customHeight="1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</row>
    <row r="408" ht="15.75" customHeight="1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</row>
    <row r="409" ht="15.75" customHeight="1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</row>
    <row r="410" ht="15.75" customHeight="1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</row>
    <row r="411" ht="15.75" customHeight="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</row>
    <row r="412" ht="15.75" customHeight="1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</row>
    <row r="413" ht="15.75" customHeight="1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</row>
    <row r="414" ht="15.75" customHeight="1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</row>
    <row r="415" ht="15.75" customHeight="1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</row>
    <row r="416" ht="15.75" customHeight="1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</row>
    <row r="417" ht="15.75" customHeight="1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</row>
    <row r="418" ht="15.75" customHeight="1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</row>
    <row r="419" ht="15.75" customHeight="1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</row>
    <row r="420" ht="15.75" customHeight="1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</row>
    <row r="421" ht="15.75" customHeight="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</row>
    <row r="422" ht="15.75" customHeight="1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</row>
    <row r="423" ht="15.75" customHeight="1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</row>
    <row r="424" ht="15.75" customHeight="1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</row>
    <row r="425" ht="15.75" customHeight="1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</row>
    <row r="426" ht="15.75" customHeight="1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</row>
    <row r="427" ht="15.75" customHeight="1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</row>
    <row r="428" ht="15.75" customHeight="1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</row>
    <row r="429" ht="15.75" customHeight="1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</row>
    <row r="430" ht="15.75" customHeight="1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</row>
    <row r="431" ht="15.75" customHeight="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</row>
    <row r="432" ht="15.75" customHeight="1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</row>
    <row r="433" ht="15.75" customHeight="1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</row>
    <row r="434" ht="15.75" customHeight="1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</row>
    <row r="435" ht="15.75" customHeight="1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</row>
    <row r="436" ht="15.75" customHeight="1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</row>
    <row r="437" ht="15.75" customHeight="1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</row>
    <row r="438" ht="15.75" customHeight="1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</row>
    <row r="439" ht="15.75" customHeight="1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</row>
    <row r="440" ht="15.75" customHeight="1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</row>
    <row r="441" ht="15.75" customHeight="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</row>
    <row r="442" ht="15.75" customHeight="1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</row>
    <row r="443" ht="15.75" customHeight="1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</row>
    <row r="444" ht="15.75" customHeight="1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</row>
    <row r="445" ht="15.75" customHeight="1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</row>
    <row r="446" ht="15.75" customHeight="1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</row>
    <row r="447" ht="15.75" customHeight="1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</row>
    <row r="448" ht="15.75" customHeight="1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</row>
    <row r="449" ht="15.75" customHeight="1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</row>
    <row r="450" ht="15.75" customHeight="1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</row>
    <row r="451" ht="15.75" customHeight="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</row>
    <row r="452" ht="15.75" customHeight="1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</row>
    <row r="453" ht="15.75" customHeight="1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</row>
    <row r="454" ht="15.75" customHeight="1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</row>
    <row r="455" ht="15.75" customHeight="1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</row>
    <row r="456" ht="15.75" customHeight="1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</row>
    <row r="457" ht="15.75" customHeight="1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</row>
    <row r="458" ht="15.75" customHeight="1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</row>
    <row r="459" ht="15.75" customHeight="1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</row>
    <row r="460" ht="15.75" customHeight="1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</row>
    <row r="461" ht="15.75" customHeight="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</row>
    <row r="462" ht="15.75" customHeight="1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</row>
    <row r="463" ht="15.75" customHeight="1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</row>
    <row r="464" ht="15.75" customHeight="1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</row>
    <row r="465" ht="15.75" customHeight="1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</row>
    <row r="466" ht="15.75" customHeight="1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</row>
    <row r="467" ht="15.75" customHeight="1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</row>
    <row r="468" ht="15.75" customHeight="1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</row>
    <row r="469" ht="15.75" customHeight="1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</row>
    <row r="470" ht="15.75" customHeight="1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</row>
    <row r="471" ht="15.75" customHeight="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</row>
    <row r="472" ht="15.75" customHeight="1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</row>
    <row r="473" ht="15.75" customHeight="1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</row>
    <row r="474" ht="15.75" customHeight="1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</row>
    <row r="475" ht="15.75" customHeight="1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</row>
    <row r="476" ht="15.75" customHeight="1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</row>
    <row r="477" ht="15.75" customHeight="1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</row>
    <row r="478" ht="15.75" customHeight="1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</row>
    <row r="479" ht="15.75" customHeight="1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</row>
    <row r="480" ht="15.75" customHeight="1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</row>
    <row r="481" ht="15.75" customHeight="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</row>
    <row r="482" ht="15.75" customHeight="1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</row>
    <row r="483" ht="15.75" customHeight="1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</row>
    <row r="484" ht="15.75" customHeight="1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</row>
    <row r="485" ht="15.75" customHeight="1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</row>
    <row r="486" ht="15.75" customHeight="1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</row>
    <row r="487" ht="15.75" customHeight="1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</row>
    <row r="488" ht="15.75" customHeight="1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</row>
    <row r="489" ht="15.75" customHeight="1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</row>
    <row r="490" ht="15.75" customHeight="1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</row>
    <row r="491" ht="15.75" customHeight="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</row>
    <row r="492" ht="15.75" customHeight="1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</row>
    <row r="493" ht="15.75" customHeight="1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</row>
    <row r="494" ht="15.75" customHeight="1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</row>
    <row r="495" ht="15.75" customHeight="1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</row>
    <row r="496" ht="15.75" customHeight="1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</row>
    <row r="497" ht="15.75" customHeight="1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</row>
    <row r="498" ht="15.75" customHeight="1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</row>
    <row r="499" ht="15.75" customHeight="1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</row>
    <row r="500" ht="15.75" customHeight="1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</row>
    <row r="501" ht="15.75" customHeight="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</row>
    <row r="502" ht="15.75" customHeight="1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</row>
    <row r="503" ht="15.75" customHeight="1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</row>
    <row r="504" ht="15.75" customHeight="1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</row>
    <row r="505" ht="15.75" customHeight="1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</row>
    <row r="506" ht="15.75" customHeight="1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</row>
    <row r="507" ht="15.75" customHeight="1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</row>
    <row r="508" ht="15.75" customHeight="1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</row>
    <row r="509" ht="15.75" customHeight="1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</row>
    <row r="510" ht="15.75" customHeight="1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</row>
    <row r="511" ht="15.75" customHeight="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</row>
    <row r="512" ht="15.75" customHeight="1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</row>
    <row r="513" ht="15.75" customHeight="1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</row>
    <row r="514" ht="15.75" customHeight="1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</row>
    <row r="515" ht="15.75" customHeight="1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</row>
    <row r="516" ht="15.75" customHeight="1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</row>
    <row r="517" ht="15.75" customHeight="1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</row>
    <row r="518" ht="15.75" customHeight="1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</row>
    <row r="519" ht="15.75" customHeight="1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</row>
    <row r="520" ht="15.75" customHeight="1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</row>
    <row r="521" ht="15.75" customHeight="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</row>
    <row r="522" ht="15.75" customHeight="1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</row>
    <row r="523" ht="15.75" customHeight="1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</row>
    <row r="524" ht="15.75" customHeight="1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</row>
    <row r="525" ht="15.75" customHeight="1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</row>
    <row r="526" ht="15.75" customHeight="1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</row>
    <row r="527" ht="15.75" customHeight="1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</row>
    <row r="528" ht="15.75" customHeight="1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</row>
    <row r="529" ht="15.75" customHeight="1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</row>
    <row r="530" ht="15.75" customHeight="1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</row>
    <row r="531" ht="15.75" customHeight="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</row>
    <row r="532" ht="15.75" customHeight="1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</row>
    <row r="533" ht="15.75" customHeight="1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</row>
    <row r="534" ht="15.75" customHeight="1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</row>
    <row r="535" ht="15.75" customHeight="1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</row>
    <row r="536" ht="15.75" customHeight="1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</row>
    <row r="537" ht="15.75" customHeight="1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</row>
    <row r="538" ht="15.75" customHeight="1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</row>
    <row r="539" ht="15.75" customHeight="1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</row>
    <row r="540" ht="15.75" customHeight="1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</row>
    <row r="541" ht="15.75" customHeight="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</row>
    <row r="542" ht="15.75" customHeight="1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</row>
    <row r="543" ht="15.75" customHeight="1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</row>
    <row r="544" ht="15.75" customHeight="1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</row>
    <row r="545" ht="15.75" customHeight="1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</row>
    <row r="546" ht="15.75" customHeight="1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</row>
    <row r="547" ht="15.75" customHeight="1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</row>
    <row r="548" ht="15.75" customHeight="1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</row>
    <row r="549" ht="15.75" customHeight="1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</row>
    <row r="550" ht="15.75" customHeight="1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</row>
    <row r="551" ht="15.75" customHeight="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</row>
    <row r="552" ht="15.75" customHeight="1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</row>
    <row r="553" ht="15.75" customHeight="1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</row>
    <row r="554" ht="15.75" customHeight="1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</row>
    <row r="555" ht="15.75" customHeight="1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</row>
    <row r="556" ht="15.75" customHeight="1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</row>
    <row r="557" ht="15.75" customHeight="1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</row>
    <row r="558" ht="15.75" customHeight="1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</row>
    <row r="559" ht="15.75" customHeight="1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</row>
    <row r="560" ht="15.75" customHeight="1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</row>
    <row r="561" ht="15.75" customHeight="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</row>
    <row r="562" ht="15.75" customHeight="1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</row>
    <row r="563" ht="15.75" customHeight="1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</row>
    <row r="564" ht="15.75" customHeight="1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</row>
    <row r="565" ht="15.75" customHeight="1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</row>
    <row r="566" ht="15.75" customHeight="1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</row>
    <row r="567" ht="15.75" customHeight="1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</row>
    <row r="568" ht="15.75" customHeight="1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</row>
    <row r="569" ht="15.75" customHeight="1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</row>
    <row r="570" ht="15.75" customHeight="1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</row>
    <row r="571" ht="15.75" customHeight="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</row>
    <row r="572" ht="15.75" customHeight="1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</row>
    <row r="573" ht="15.75" customHeight="1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</row>
    <row r="574" ht="15.75" customHeight="1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</row>
    <row r="575" ht="15.75" customHeight="1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</row>
    <row r="576" ht="15.75" customHeight="1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</row>
    <row r="577" ht="15.75" customHeight="1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</row>
    <row r="578" ht="15.75" customHeight="1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</row>
    <row r="579" ht="15.75" customHeight="1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</row>
    <row r="580" ht="15.75" customHeight="1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</row>
    <row r="581" ht="15.75" customHeight="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</row>
    <row r="582" ht="15.75" customHeight="1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</row>
    <row r="583" ht="15.75" customHeight="1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</row>
    <row r="584" ht="15.75" customHeight="1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</row>
    <row r="585" ht="15.75" customHeight="1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</row>
    <row r="586" ht="15.75" customHeight="1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</row>
    <row r="587" ht="15.75" customHeight="1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</row>
    <row r="588" ht="15.75" customHeight="1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</row>
    <row r="589" ht="15.75" customHeight="1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</row>
    <row r="590" ht="15.75" customHeight="1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</row>
    <row r="591" ht="15.75" customHeight="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</row>
    <row r="592" ht="15.75" customHeight="1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</row>
    <row r="593" ht="15.75" customHeight="1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</row>
    <row r="594" ht="15.75" customHeight="1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</row>
    <row r="595" ht="15.75" customHeight="1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</row>
    <row r="596" ht="15.75" customHeight="1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</row>
    <row r="597" ht="15.75" customHeight="1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</row>
    <row r="598" ht="15.75" customHeight="1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</row>
    <row r="599" ht="15.75" customHeight="1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</row>
    <row r="600" ht="15.75" customHeight="1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</row>
    <row r="601" ht="15.75" customHeight="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</row>
    <row r="602" ht="15.75" customHeight="1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</row>
    <row r="603" ht="15.75" customHeight="1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</row>
    <row r="604" ht="15.75" customHeight="1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</row>
    <row r="605" ht="15.75" customHeight="1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</row>
    <row r="606" ht="15.75" customHeight="1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</row>
    <row r="607" ht="15.75" customHeight="1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</row>
    <row r="608" ht="15.75" customHeight="1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</row>
    <row r="609" ht="15.75" customHeight="1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</row>
    <row r="610" ht="15.75" customHeight="1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</row>
    <row r="611" ht="15.75" customHeight="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</row>
    <row r="612" ht="15.75" customHeight="1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</row>
    <row r="613" ht="15.75" customHeight="1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</row>
    <row r="614" ht="15.75" customHeight="1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</row>
    <row r="615" ht="15.75" customHeight="1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</row>
    <row r="616" ht="15.75" customHeight="1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</row>
    <row r="617" ht="15.75" customHeight="1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</row>
    <row r="618" ht="15.75" customHeight="1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</row>
    <row r="619" ht="15.75" customHeight="1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</row>
    <row r="620" ht="15.75" customHeight="1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</row>
    <row r="621" ht="15.75" customHeight="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</row>
    <row r="622" ht="15.75" customHeight="1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</row>
    <row r="623" ht="15.75" customHeight="1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</row>
    <row r="624" ht="15.75" customHeight="1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</row>
    <row r="625" ht="15.75" customHeight="1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</row>
    <row r="626" ht="15.75" customHeight="1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</row>
    <row r="627" ht="15.75" customHeight="1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</row>
    <row r="628" ht="15.75" customHeight="1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</row>
    <row r="629" ht="15.75" customHeight="1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</row>
    <row r="630" ht="15.75" customHeight="1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</row>
    <row r="631" ht="15.75" customHeight="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</row>
    <row r="632" ht="15.75" customHeight="1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</row>
    <row r="633" ht="15.75" customHeight="1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</row>
    <row r="634" ht="15.75" customHeight="1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</row>
    <row r="635" ht="15.75" customHeight="1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</row>
    <row r="636" ht="15.75" customHeight="1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</row>
    <row r="637" ht="15.75" customHeight="1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</row>
    <row r="638" ht="15.75" customHeight="1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</row>
    <row r="639" ht="15.75" customHeight="1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</row>
    <row r="640" ht="15.75" customHeight="1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</row>
    <row r="641" ht="15.75" customHeight="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</row>
    <row r="642" ht="15.75" customHeight="1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</row>
    <row r="643" ht="15.75" customHeight="1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</row>
    <row r="644" ht="15.75" customHeight="1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</row>
    <row r="645" ht="15.75" customHeight="1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</row>
    <row r="646" ht="15.75" customHeight="1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</row>
    <row r="647" ht="15.75" customHeight="1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</row>
    <row r="648" ht="15.75" customHeight="1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</row>
    <row r="649" ht="15.75" customHeight="1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</row>
    <row r="650" ht="15.75" customHeight="1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</row>
    <row r="651" ht="15.75" customHeight="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</row>
    <row r="652" ht="15.75" customHeight="1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</row>
    <row r="653" ht="15.75" customHeight="1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</row>
    <row r="654" ht="15.75" customHeight="1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</row>
    <row r="655" ht="15.75" customHeight="1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</row>
    <row r="656" ht="15.75" customHeight="1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</row>
    <row r="657" ht="15.75" customHeight="1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</row>
    <row r="658" ht="15.75" customHeight="1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</row>
    <row r="659" ht="15.75" customHeight="1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</row>
    <row r="660" ht="15.75" customHeight="1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</row>
    <row r="661" ht="15.75" customHeight="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</row>
    <row r="662" ht="15.75" customHeight="1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</row>
    <row r="663" ht="15.75" customHeight="1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</row>
    <row r="664" ht="15.75" customHeight="1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</row>
    <row r="665" ht="15.75" customHeight="1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</row>
    <row r="666" ht="15.75" customHeight="1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</row>
    <row r="667" ht="15.75" customHeight="1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</row>
    <row r="668" ht="15.75" customHeight="1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</row>
    <row r="669" ht="15.75" customHeight="1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</row>
    <row r="670" ht="15.75" customHeight="1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</row>
    <row r="671" ht="15.75" customHeight="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</row>
    <row r="672" ht="15.75" customHeight="1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</row>
    <row r="673" ht="15.75" customHeight="1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</row>
    <row r="674" ht="15.75" customHeight="1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</row>
    <row r="675" ht="15.75" customHeight="1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</row>
    <row r="676" ht="15.75" customHeight="1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</row>
    <row r="677" ht="15.75" customHeight="1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</row>
    <row r="678" ht="15.75" customHeight="1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</row>
    <row r="679" ht="15.75" customHeight="1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</row>
    <row r="680" ht="15.75" customHeight="1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</row>
    <row r="681" ht="15.75" customHeight="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</row>
    <row r="682" ht="15.75" customHeight="1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</row>
    <row r="683" ht="15.75" customHeight="1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</row>
    <row r="684" ht="15.75" customHeight="1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</row>
    <row r="685" ht="15.75" customHeight="1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</row>
    <row r="686" ht="15.75" customHeight="1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</row>
    <row r="687" ht="15.75" customHeight="1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</row>
    <row r="688" ht="15.75" customHeight="1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</row>
    <row r="689" ht="15.75" customHeight="1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</row>
    <row r="690" ht="15.75" customHeight="1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</row>
    <row r="691" ht="15.75" customHeight="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</row>
    <row r="692" ht="15.75" customHeight="1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</row>
    <row r="693" ht="15.75" customHeight="1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</row>
    <row r="694" ht="15.75" customHeight="1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</row>
    <row r="695" ht="15.75" customHeight="1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</row>
    <row r="696" ht="15.75" customHeight="1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</row>
    <row r="697" ht="15.75" customHeight="1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</row>
    <row r="698" ht="15.75" customHeight="1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</row>
    <row r="699" ht="15.75" customHeight="1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</row>
    <row r="700" ht="15.75" customHeight="1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</row>
    <row r="701" ht="15.75" customHeight="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</row>
    <row r="702" ht="15.75" customHeight="1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</row>
    <row r="703" ht="15.75" customHeight="1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</row>
    <row r="704" ht="15.75" customHeight="1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</row>
    <row r="705" ht="15.75" customHeight="1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</row>
    <row r="706" ht="15.75" customHeight="1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</row>
    <row r="707" ht="15.75" customHeight="1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</row>
    <row r="708" ht="15.75" customHeight="1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</row>
    <row r="709" ht="15.75" customHeight="1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</row>
    <row r="710" ht="15.75" customHeight="1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</row>
    <row r="711" ht="15.75" customHeight="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</row>
    <row r="712" ht="15.75" customHeight="1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</row>
    <row r="713" ht="15.75" customHeight="1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</row>
    <row r="714" ht="15.75" customHeight="1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</row>
    <row r="715" ht="15.75" customHeight="1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</row>
    <row r="716" ht="15.75" customHeight="1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</row>
    <row r="717" ht="15.75" customHeight="1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</row>
    <row r="718" ht="15.75" customHeight="1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</row>
    <row r="719" ht="15.75" customHeight="1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</row>
    <row r="720" ht="15.75" customHeight="1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</row>
    <row r="721" ht="15.75" customHeight="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</row>
    <row r="722" ht="15.75" customHeight="1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</row>
    <row r="723" ht="15.75" customHeight="1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</row>
    <row r="724" ht="15.75" customHeight="1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</row>
    <row r="725" ht="15.75" customHeight="1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</row>
    <row r="726" ht="15.75" customHeight="1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</row>
    <row r="727" ht="15.75" customHeight="1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</row>
    <row r="728" ht="15.75" customHeight="1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</row>
    <row r="729" ht="15.75" customHeight="1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</row>
    <row r="730" ht="15.75" customHeight="1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</row>
    <row r="731" ht="15.75" customHeight="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</row>
    <row r="732" ht="15.75" customHeight="1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</row>
    <row r="733" ht="15.75" customHeight="1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</row>
    <row r="734" ht="15.75" customHeight="1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</row>
    <row r="735" ht="15.75" customHeight="1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</row>
    <row r="736" ht="15.75" customHeight="1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</row>
    <row r="737" ht="15.75" customHeight="1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</row>
    <row r="738" ht="15.75" customHeight="1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</row>
    <row r="739" ht="15.75" customHeight="1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</row>
    <row r="740" ht="15.75" customHeight="1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</row>
    <row r="741" ht="15.75" customHeight="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</row>
    <row r="742" ht="15.75" customHeight="1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</row>
    <row r="743" ht="15.75" customHeight="1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</row>
    <row r="744" ht="15.75" customHeight="1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</row>
    <row r="745" ht="15.75" customHeight="1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</row>
    <row r="746" ht="15.75" customHeight="1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</row>
    <row r="747" ht="15.75" customHeight="1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</row>
    <row r="748" ht="15.75" customHeight="1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</row>
    <row r="749" ht="15.75" customHeight="1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</row>
    <row r="750" ht="15.75" customHeight="1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</row>
    <row r="751" ht="15.75" customHeight="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</row>
    <row r="752" ht="15.75" customHeight="1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</row>
    <row r="753" ht="15.75" customHeight="1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</row>
    <row r="754" ht="15.75" customHeight="1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</row>
    <row r="755" ht="15.75" customHeight="1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</row>
    <row r="756" ht="15.75" customHeight="1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</row>
    <row r="757" ht="15.75" customHeight="1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</row>
    <row r="758" ht="15.75" customHeight="1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</row>
    <row r="759" ht="15.75" customHeight="1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</row>
    <row r="760" ht="15.75" customHeight="1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</row>
    <row r="761" ht="15.75" customHeight="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</row>
    <row r="762" ht="15.75" customHeight="1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</row>
    <row r="763" ht="15.75" customHeight="1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</row>
    <row r="764" ht="15.75" customHeight="1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</row>
    <row r="765" ht="15.75" customHeight="1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</row>
    <row r="766" ht="15.75" customHeight="1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</row>
    <row r="767" ht="15.75" customHeight="1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</row>
    <row r="768" ht="15.75" customHeight="1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</row>
    <row r="769" ht="15.75" customHeight="1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</row>
    <row r="770" ht="15.75" customHeight="1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</row>
    <row r="771" ht="15.75" customHeight="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</row>
    <row r="772" ht="15.75" customHeight="1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</row>
    <row r="773" ht="15.75" customHeight="1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</row>
    <row r="774" ht="15.75" customHeight="1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</row>
    <row r="775" ht="15.75" customHeight="1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</row>
    <row r="776" ht="15.75" customHeight="1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</row>
    <row r="777" ht="15.75" customHeight="1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</row>
    <row r="778" ht="15.75" customHeight="1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</row>
    <row r="779" ht="15.75" customHeight="1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</row>
    <row r="780" ht="15.75" customHeight="1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</row>
    <row r="781" ht="15.75" customHeight="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</row>
    <row r="782" ht="15.75" customHeight="1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</row>
    <row r="783" ht="15.75" customHeight="1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</row>
    <row r="784" ht="15.75" customHeight="1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</row>
    <row r="785" ht="15.75" customHeight="1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</row>
    <row r="786" ht="15.75" customHeight="1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</row>
    <row r="787" ht="15.75" customHeight="1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</row>
    <row r="788" ht="15.75" customHeight="1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</row>
    <row r="789" ht="15.75" customHeight="1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</row>
    <row r="790" ht="15.75" customHeight="1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</row>
    <row r="791" ht="15.75" customHeight="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</row>
    <row r="792" ht="15.75" customHeight="1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</row>
    <row r="793" ht="15.75" customHeight="1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</row>
    <row r="794" ht="15.75" customHeight="1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</row>
    <row r="795" ht="15.75" customHeight="1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</row>
    <row r="796" ht="15.75" customHeight="1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</row>
    <row r="797" ht="15.75" customHeight="1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</row>
    <row r="798" ht="15.75" customHeight="1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</row>
    <row r="799" ht="15.75" customHeight="1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</row>
    <row r="800" ht="15.75" customHeight="1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</row>
    <row r="801" ht="15.75" customHeight="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</row>
    <row r="802" ht="15.75" customHeight="1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</row>
    <row r="803" ht="15.75" customHeight="1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</row>
    <row r="804" ht="15.75" customHeight="1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</row>
    <row r="805" ht="15.75" customHeight="1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</row>
    <row r="806" ht="15.75" customHeight="1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</row>
    <row r="807" ht="15.75" customHeight="1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</row>
    <row r="808" ht="15.75" customHeight="1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</row>
    <row r="809" ht="15.75" customHeight="1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</row>
    <row r="810" ht="15.75" customHeight="1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</row>
    <row r="811" ht="15.75" customHeight="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</row>
    <row r="812" ht="15.75" customHeight="1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</row>
    <row r="813" ht="15.75" customHeight="1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</row>
    <row r="814" ht="15.75" customHeight="1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</row>
    <row r="815" ht="15.75" customHeight="1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</row>
    <row r="816" ht="15.75" customHeight="1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</row>
    <row r="817" ht="15.75" customHeight="1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</row>
    <row r="818" ht="15.75" customHeight="1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</row>
    <row r="819" ht="15.75" customHeight="1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</row>
    <row r="820" ht="15.75" customHeight="1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</row>
    <row r="821" ht="15.75" customHeight="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</row>
    <row r="822" ht="15.75" customHeight="1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</row>
    <row r="823" ht="15.75" customHeight="1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</row>
    <row r="824" ht="15.75" customHeight="1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</row>
    <row r="825" ht="15.75" customHeight="1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</row>
    <row r="826" ht="15.75" customHeight="1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</row>
    <row r="827" ht="15.75" customHeight="1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</row>
    <row r="828" ht="15.75" customHeight="1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</row>
    <row r="829" ht="15.75" customHeight="1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</row>
    <row r="830" ht="15.75" customHeight="1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</row>
    <row r="831" ht="15.75" customHeight="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</row>
    <row r="832" ht="15.75" customHeight="1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</row>
    <row r="833" ht="15.75" customHeight="1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</row>
    <row r="834" ht="15.75" customHeight="1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</row>
    <row r="835" ht="15.75" customHeight="1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</row>
    <row r="836" ht="15.75" customHeight="1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</row>
    <row r="837" ht="15.75" customHeight="1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</row>
    <row r="838" ht="15.75" customHeight="1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</row>
    <row r="839" ht="15.75" customHeight="1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</row>
    <row r="840" ht="15.75" customHeight="1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</row>
    <row r="841" ht="15.75" customHeight="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</row>
    <row r="842" ht="15.75" customHeight="1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</row>
    <row r="843" ht="15.75" customHeight="1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</row>
    <row r="844" ht="15.75" customHeight="1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</row>
    <row r="845" ht="15.75" customHeight="1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</row>
    <row r="846" ht="15.75" customHeight="1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</row>
    <row r="847" ht="15.75" customHeight="1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</row>
    <row r="848" ht="15.75" customHeight="1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</row>
    <row r="849" ht="15.75" customHeight="1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</row>
    <row r="850" ht="15.75" customHeight="1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</row>
    <row r="851" ht="15.75" customHeight="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</row>
    <row r="852" ht="15.75" customHeight="1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</row>
    <row r="853" ht="15.75" customHeight="1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</row>
    <row r="854" ht="15.75" customHeight="1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</row>
    <row r="855" ht="15.75" customHeight="1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</row>
    <row r="856" ht="15.75" customHeight="1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</row>
    <row r="857" ht="15.75" customHeight="1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</row>
    <row r="858" ht="15.75" customHeight="1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</row>
    <row r="859" ht="15.75" customHeight="1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</row>
    <row r="860" ht="15.75" customHeight="1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</row>
    <row r="861" ht="15.75" customHeight="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</row>
    <row r="862" ht="15.75" customHeight="1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</row>
    <row r="863" ht="15.75" customHeight="1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</row>
    <row r="864" ht="15.75" customHeight="1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</row>
    <row r="865" ht="15.75" customHeight="1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</row>
    <row r="866" ht="15.75" customHeight="1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</row>
    <row r="867" ht="15.75" customHeight="1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</row>
    <row r="868" ht="15.75" customHeight="1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</row>
    <row r="869" ht="15.75" customHeight="1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</row>
    <row r="870" ht="15.75" customHeight="1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</row>
    <row r="871" ht="15.75" customHeight="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</row>
    <row r="872" ht="15.75" customHeight="1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</row>
    <row r="873" ht="15.75" customHeight="1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</row>
    <row r="874" ht="15.75" customHeight="1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</row>
    <row r="875" ht="15.75" customHeight="1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</row>
    <row r="876" ht="15.75" customHeight="1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</row>
    <row r="877" ht="15.75" customHeight="1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</row>
    <row r="878" ht="15.75" customHeight="1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</row>
    <row r="879" ht="15.75" customHeight="1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</row>
    <row r="880" ht="15.75" customHeight="1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</row>
    <row r="881" ht="15.75" customHeight="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</row>
    <row r="882" ht="15.75" customHeight="1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</row>
    <row r="883" ht="15.75" customHeight="1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</row>
    <row r="884" ht="15.75" customHeight="1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</row>
    <row r="885" ht="15.75" customHeight="1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</row>
    <row r="886" ht="15.75" customHeight="1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</row>
    <row r="887" ht="15.75" customHeight="1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</row>
    <row r="888" ht="15.75" customHeight="1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</row>
    <row r="889" ht="15.75" customHeight="1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</row>
    <row r="890" ht="15.75" customHeight="1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</row>
    <row r="891" ht="15.75" customHeight="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</row>
    <row r="892" ht="15.75" customHeight="1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</row>
    <row r="893" ht="15.75" customHeight="1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</row>
    <row r="894" ht="15.75" customHeight="1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</row>
    <row r="895" ht="15.75" customHeight="1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</row>
    <row r="896" ht="15.75" customHeight="1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</row>
    <row r="897" ht="15.75" customHeight="1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</row>
    <row r="898" ht="15.75" customHeight="1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</row>
    <row r="899" ht="15.75" customHeight="1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</row>
    <row r="900" ht="15.75" customHeight="1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</row>
    <row r="901" ht="15.75" customHeight="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</row>
    <row r="902" ht="15.75" customHeight="1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</row>
    <row r="903" ht="15.75" customHeight="1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</row>
    <row r="904" ht="15.75" customHeight="1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</row>
    <row r="905" ht="15.75" customHeight="1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</row>
    <row r="906" ht="15.75" customHeight="1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</row>
    <row r="907" ht="15.75" customHeight="1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</row>
    <row r="908" ht="15.75" customHeight="1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</row>
    <row r="909" ht="15.75" customHeight="1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</row>
    <row r="910" ht="15.75" customHeight="1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</row>
    <row r="911" ht="15.75" customHeight="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</row>
    <row r="912" ht="15.75" customHeight="1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</row>
    <row r="913" ht="15.75" customHeight="1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</row>
    <row r="914" ht="15.75" customHeight="1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</row>
    <row r="915" ht="15.75" customHeight="1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</row>
    <row r="916" ht="15.75" customHeight="1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</row>
    <row r="917" ht="15.75" customHeight="1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</row>
    <row r="918" ht="15.75" customHeight="1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</row>
    <row r="919" ht="15.75" customHeight="1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</row>
    <row r="920" ht="15.75" customHeight="1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</row>
    <row r="921" ht="15.75" customHeight="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</row>
    <row r="922" ht="15.75" customHeight="1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</row>
    <row r="923" ht="15.75" customHeight="1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</row>
    <row r="924" ht="15.75" customHeight="1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</row>
    <row r="925" ht="15.75" customHeight="1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</row>
    <row r="926" ht="15.75" customHeight="1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</row>
    <row r="927" ht="15.75" customHeight="1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</row>
    <row r="928" ht="15.75" customHeight="1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</row>
    <row r="929" ht="15.75" customHeight="1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</row>
    <row r="930" ht="15.75" customHeight="1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</row>
    <row r="931" ht="15.75" customHeight="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</row>
    <row r="932" ht="15.75" customHeight="1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</row>
    <row r="933" ht="15.75" customHeight="1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</row>
    <row r="934" ht="15.75" customHeight="1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</row>
    <row r="935" ht="15.75" customHeight="1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</row>
    <row r="936" ht="15.75" customHeight="1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</row>
    <row r="937" ht="15.75" customHeight="1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</row>
    <row r="938" ht="15.75" customHeight="1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</row>
    <row r="939" ht="15.75" customHeight="1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</row>
    <row r="940" ht="15.75" customHeight="1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</row>
    <row r="941" ht="15.75" customHeight="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</row>
    <row r="942" ht="15.75" customHeight="1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</row>
    <row r="943" ht="15.75" customHeight="1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</row>
    <row r="944" ht="15.75" customHeight="1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</row>
    <row r="945" ht="15.75" customHeight="1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</row>
    <row r="946" ht="15.75" customHeight="1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</row>
    <row r="947" ht="15.75" customHeight="1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</row>
    <row r="948" ht="15.75" customHeight="1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</row>
    <row r="949" ht="15.75" customHeight="1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</row>
    <row r="950" ht="15.75" customHeight="1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</row>
    <row r="951" ht="15.75" customHeight="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</row>
    <row r="952" ht="15.75" customHeight="1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</row>
    <row r="953" ht="15.75" customHeight="1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</row>
    <row r="954" ht="15.75" customHeight="1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</row>
    <row r="955" ht="15.75" customHeight="1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</row>
    <row r="956" ht="15.75" customHeight="1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</row>
    <row r="957" ht="15.75" customHeight="1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</row>
    <row r="958" ht="15.75" customHeight="1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</row>
    <row r="959" ht="15.75" customHeight="1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</row>
    <row r="960" ht="15.75" customHeight="1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</row>
    <row r="961" ht="15.75" customHeight="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</row>
    <row r="962" ht="15.75" customHeight="1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</row>
    <row r="963" ht="15.75" customHeight="1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</row>
    <row r="964" ht="15.75" customHeight="1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</row>
    <row r="965" ht="15.75" customHeight="1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</row>
    <row r="966" ht="15.75" customHeight="1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</row>
    <row r="967" ht="15.75" customHeight="1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</row>
    <row r="968" ht="15.75" customHeight="1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</row>
    <row r="969" ht="15.75" customHeight="1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</row>
    <row r="970" ht="15.75" customHeight="1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</row>
    <row r="971" ht="15.75" customHeight="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</row>
    <row r="972" ht="15.75" customHeight="1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</row>
    <row r="973" ht="15.75" customHeight="1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</row>
    <row r="974" ht="15.75" customHeight="1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</row>
    <row r="975" ht="15.75" customHeight="1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</row>
    <row r="976" ht="15.75" customHeight="1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</row>
    <row r="977" ht="15.75" customHeight="1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</row>
    <row r="978" ht="15.75" customHeight="1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</row>
    <row r="979" ht="15.75" customHeight="1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</row>
    <row r="980" ht="15.75" customHeight="1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</row>
    <row r="981" ht="15.75" customHeight="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</row>
    <row r="982" ht="15.75" customHeight="1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</row>
    <row r="983" ht="15.75" customHeight="1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</row>
    <row r="984" ht="15.75" customHeight="1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</row>
    <row r="985" ht="15.75" customHeight="1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</row>
    <row r="986" ht="15.75" customHeight="1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</row>
    <row r="987" ht="15.75" customHeight="1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</row>
    <row r="988" ht="15.75" customHeight="1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</row>
    <row r="989" ht="15.75" customHeight="1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</row>
    <row r="990" ht="15.75" customHeight="1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</row>
    <row r="991" ht="15.75" customHeight="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</row>
    <row r="992" ht="15.75" customHeight="1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</row>
    <row r="993" ht="15.75" customHeight="1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</row>
    <row r="994" ht="15.75" customHeight="1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</row>
    <row r="995" ht="15.75" customHeight="1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</row>
    <row r="996" ht="15.75" customHeight="1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</row>
    <row r="997" ht="15.75" customHeight="1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</row>
    <row r="998" ht="15.75" customHeight="1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</row>
    <row r="999" ht="15.75" customHeight="1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4"/>
    </row>
    <row r="1000" ht="15.75" customHeight="1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  <c r="AC1000" s="84"/>
    </row>
  </sheetData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23.13"/>
    <col customWidth="1" min="3" max="4" width="13.38"/>
    <col customWidth="1" min="5" max="5" width="12.63"/>
    <col customWidth="1" min="6" max="6" width="13.25"/>
    <col customWidth="1" min="9" max="9" width="14.13"/>
  </cols>
  <sheetData>
    <row r="1" ht="15.75" customHeight="1">
      <c r="A1" s="3"/>
      <c r="B1" s="3" t="s">
        <v>30</v>
      </c>
      <c r="C1" s="50" t="s">
        <v>31</v>
      </c>
      <c r="D1" s="3" t="s">
        <v>32</v>
      </c>
      <c r="E1" s="3" t="s">
        <v>33</v>
      </c>
      <c r="F1" s="3" t="s">
        <v>34</v>
      </c>
      <c r="G1" s="50" t="s">
        <v>95</v>
      </c>
      <c r="H1" s="3"/>
      <c r="I1" s="51" t="s">
        <v>36</v>
      </c>
      <c r="J1" s="3"/>
      <c r="K1" s="3"/>
      <c r="L1" s="3"/>
      <c r="M1" s="3"/>
      <c r="N1" s="3"/>
      <c r="O1" s="5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15.75" customHeight="1">
      <c r="A2" s="3"/>
      <c r="B2" s="3" t="s">
        <v>37</v>
      </c>
      <c r="C2" s="76" t="s">
        <v>119</v>
      </c>
      <c r="D2" s="36"/>
      <c r="E2" s="36"/>
      <c r="F2" s="36"/>
      <c r="G2" s="36"/>
      <c r="H2" s="36"/>
      <c r="I2" s="5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15.75" customHeight="1">
      <c r="A3" s="54">
        <v>1.0</v>
      </c>
      <c r="B3" s="3" t="s">
        <v>38</v>
      </c>
      <c r="C3" s="55">
        <v>35000.0</v>
      </c>
      <c r="D3" s="55">
        <v>5000.0</v>
      </c>
      <c r="E3" s="55">
        <v>2500.0</v>
      </c>
      <c r="F3" s="55">
        <v>2500.0</v>
      </c>
      <c r="G3" s="55">
        <v>10000.0</v>
      </c>
      <c r="H3" s="66"/>
      <c r="I3" s="56">
        <f t="shared" ref="I3:I21" si="1">SUM(C3:F3)</f>
        <v>45000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15.75" customHeight="1">
      <c r="A4" s="54">
        <v>2.0</v>
      </c>
      <c r="B4" s="3" t="s">
        <v>39</v>
      </c>
      <c r="C4" s="55">
        <v>35000.0</v>
      </c>
      <c r="D4" s="55">
        <v>5000.0</v>
      </c>
      <c r="E4" s="55">
        <v>2500.0</v>
      </c>
      <c r="F4" s="55">
        <v>2500.0</v>
      </c>
      <c r="G4" s="55">
        <v>10000.0</v>
      </c>
      <c r="H4" s="66"/>
      <c r="I4" s="56">
        <f t="shared" si="1"/>
        <v>45000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ht="15.75" customHeight="1">
      <c r="A5" s="54">
        <v>3.0</v>
      </c>
      <c r="B5" s="3" t="s">
        <v>40</v>
      </c>
      <c r="C5" s="55">
        <v>35000.0</v>
      </c>
      <c r="D5" s="55">
        <v>5000.0</v>
      </c>
      <c r="E5" s="55">
        <v>2500.0</v>
      </c>
      <c r="F5" s="55">
        <v>2500.0</v>
      </c>
      <c r="G5" s="55">
        <v>10000.0</v>
      </c>
      <c r="H5" s="66"/>
      <c r="I5" s="56">
        <f t="shared" si="1"/>
        <v>45000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15.75" customHeight="1">
      <c r="A6" s="54">
        <v>4.0</v>
      </c>
      <c r="B6" s="3" t="s">
        <v>41</v>
      </c>
      <c r="C6" s="55">
        <v>35000.0</v>
      </c>
      <c r="D6" s="55">
        <v>5000.0</v>
      </c>
      <c r="E6" s="55">
        <v>2500.0</v>
      </c>
      <c r="F6" s="55">
        <v>2500.0</v>
      </c>
      <c r="G6" s="55">
        <v>10000.0</v>
      </c>
      <c r="H6" s="66"/>
      <c r="I6" s="56">
        <f t="shared" si="1"/>
        <v>45000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ht="15.75" customHeight="1">
      <c r="A7" s="54">
        <v>5.0</v>
      </c>
      <c r="B7" s="3" t="s">
        <v>42</v>
      </c>
      <c r="C7" s="55">
        <v>35000.0</v>
      </c>
      <c r="D7" s="55">
        <v>5000.0</v>
      </c>
      <c r="E7" s="55">
        <v>2500.0</v>
      </c>
      <c r="F7" s="55">
        <v>2500.0</v>
      </c>
      <c r="G7" s="55">
        <v>10000.0</v>
      </c>
      <c r="H7" s="66"/>
      <c r="I7" s="56">
        <f t="shared" si="1"/>
        <v>45000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ht="15.75" customHeight="1">
      <c r="A8" s="54">
        <v>6.0</v>
      </c>
      <c r="B8" s="3" t="s">
        <v>43</v>
      </c>
      <c r="C8" s="55">
        <v>70000.0</v>
      </c>
      <c r="D8" s="55">
        <v>10000.0</v>
      </c>
      <c r="E8" s="55">
        <v>2500.0</v>
      </c>
      <c r="F8" s="55">
        <v>2500.0</v>
      </c>
      <c r="G8" s="55">
        <v>10000.0</v>
      </c>
      <c r="H8" s="66"/>
      <c r="I8" s="56">
        <f t="shared" si="1"/>
        <v>85000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15.75" customHeight="1">
      <c r="A9" s="54">
        <v>7.0</v>
      </c>
      <c r="B9" s="3" t="s">
        <v>44</v>
      </c>
      <c r="C9" s="55">
        <v>35000.0</v>
      </c>
      <c r="D9" s="55">
        <v>5000.0</v>
      </c>
      <c r="E9" s="55">
        <v>2500.0</v>
      </c>
      <c r="F9" s="55">
        <v>2500.0</v>
      </c>
      <c r="G9" s="55">
        <v>10000.0</v>
      </c>
      <c r="H9" s="66"/>
      <c r="I9" s="56">
        <f t="shared" si="1"/>
        <v>45000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57"/>
      <c r="Z9" s="3"/>
      <c r="AA9" s="3"/>
      <c r="AB9" s="3"/>
      <c r="AC9" s="3"/>
    </row>
    <row r="10" ht="15.75" customHeight="1">
      <c r="A10" s="54">
        <v>8.0</v>
      </c>
      <c r="B10" s="3" t="s">
        <v>45</v>
      </c>
      <c r="C10" s="55">
        <v>35000.0</v>
      </c>
      <c r="D10" s="55">
        <v>5000.0</v>
      </c>
      <c r="E10" s="55">
        <v>2500.0</v>
      </c>
      <c r="F10" s="55">
        <v>2500.0</v>
      </c>
      <c r="G10" s="55">
        <v>10000.0</v>
      </c>
      <c r="H10" s="66"/>
      <c r="I10" s="56">
        <f t="shared" si="1"/>
        <v>45000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15.75" customHeight="1">
      <c r="A11" s="54">
        <v>9.0</v>
      </c>
      <c r="B11" s="3" t="s">
        <v>46</v>
      </c>
      <c r="C11" s="55">
        <v>35000.0</v>
      </c>
      <c r="D11" s="55">
        <v>5000.0</v>
      </c>
      <c r="E11" s="55">
        <v>2500.0</v>
      </c>
      <c r="F11" s="55">
        <v>2500.0</v>
      </c>
      <c r="G11" s="55">
        <v>10000.0</v>
      </c>
      <c r="H11" s="66"/>
      <c r="I11" s="56">
        <f t="shared" si="1"/>
        <v>45000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15.75" customHeight="1">
      <c r="A12" s="54">
        <v>10.0</v>
      </c>
      <c r="B12" s="3" t="s">
        <v>47</v>
      </c>
      <c r="C12" s="55">
        <v>35000.0</v>
      </c>
      <c r="D12" s="55">
        <v>5000.0</v>
      </c>
      <c r="E12" s="55">
        <v>2500.0</v>
      </c>
      <c r="F12" s="55">
        <v>2500.0</v>
      </c>
      <c r="G12" s="55">
        <v>10000.0</v>
      </c>
      <c r="H12" s="66"/>
      <c r="I12" s="56">
        <f t="shared" si="1"/>
        <v>45000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ht="15.75" customHeight="1">
      <c r="A13" s="54">
        <v>11.0</v>
      </c>
      <c r="B13" s="3" t="s">
        <v>48</v>
      </c>
      <c r="C13" s="55">
        <v>35000.0</v>
      </c>
      <c r="D13" s="55">
        <v>5000.0</v>
      </c>
      <c r="E13" s="55">
        <v>2500.0</v>
      </c>
      <c r="F13" s="55">
        <v>2500.0</v>
      </c>
      <c r="G13" s="55">
        <v>10000.0</v>
      </c>
      <c r="H13" s="66"/>
      <c r="I13" s="56">
        <f t="shared" si="1"/>
        <v>45000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15.75" customHeight="1">
      <c r="A14" s="54">
        <v>12.0</v>
      </c>
      <c r="B14" s="3" t="s">
        <v>49</v>
      </c>
      <c r="C14" s="58">
        <v>0.0</v>
      </c>
      <c r="D14" s="59">
        <v>0.0</v>
      </c>
      <c r="E14" s="59">
        <v>0.0</v>
      </c>
      <c r="F14" s="59">
        <v>0.0</v>
      </c>
      <c r="G14" s="59">
        <v>0.0</v>
      </c>
      <c r="H14" s="36"/>
      <c r="I14" s="56">
        <f t="shared" si="1"/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15.75" customHeight="1">
      <c r="A15" s="54">
        <v>13.0</v>
      </c>
      <c r="B15" s="3" t="s">
        <v>50</v>
      </c>
      <c r="C15" s="55">
        <v>35000.0</v>
      </c>
      <c r="D15" s="55">
        <v>5000.0</v>
      </c>
      <c r="E15" s="55">
        <v>2500.0</v>
      </c>
      <c r="F15" s="55">
        <v>2500.0</v>
      </c>
      <c r="G15" s="55">
        <v>10000.0</v>
      </c>
      <c r="H15" s="66"/>
      <c r="I15" s="56">
        <f t="shared" si="1"/>
        <v>45000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15.75" customHeight="1">
      <c r="A16" s="54">
        <v>14.0</v>
      </c>
      <c r="B16" s="3" t="s">
        <v>51</v>
      </c>
      <c r="C16" s="55">
        <v>35000.0</v>
      </c>
      <c r="D16" s="55">
        <v>5000.0</v>
      </c>
      <c r="E16" s="55">
        <v>2500.0</v>
      </c>
      <c r="F16" s="55">
        <v>2500.0</v>
      </c>
      <c r="G16" s="55">
        <v>10000.0</v>
      </c>
      <c r="H16" s="66"/>
      <c r="I16" s="56">
        <f t="shared" si="1"/>
        <v>45000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ht="15.75" customHeight="1">
      <c r="A17" s="54">
        <v>15.0</v>
      </c>
      <c r="B17" s="3" t="s">
        <v>96</v>
      </c>
      <c r="C17" s="58">
        <v>0.0</v>
      </c>
      <c r="D17" s="59">
        <v>0.0</v>
      </c>
      <c r="E17" s="59">
        <v>0.0</v>
      </c>
      <c r="F17" s="59">
        <v>0.0</v>
      </c>
      <c r="G17" s="59">
        <v>0.0</v>
      </c>
      <c r="H17" s="36"/>
      <c r="I17" s="56">
        <f t="shared" si="1"/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ht="15.75" customHeight="1">
      <c r="A18" s="54">
        <v>16.0</v>
      </c>
      <c r="B18" s="3" t="s">
        <v>53</v>
      </c>
      <c r="C18" s="58">
        <v>0.0</v>
      </c>
      <c r="D18" s="59">
        <v>0.0</v>
      </c>
      <c r="E18" s="59">
        <v>0.0</v>
      </c>
      <c r="F18" s="59">
        <v>0.0</v>
      </c>
      <c r="G18" s="59">
        <v>0.0</v>
      </c>
      <c r="H18" s="36"/>
      <c r="I18" s="56">
        <f t="shared" si="1"/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ht="15.75" customHeight="1">
      <c r="A19" s="54">
        <v>17.0</v>
      </c>
      <c r="B19" s="3" t="s">
        <v>54</v>
      </c>
      <c r="C19" s="55">
        <v>35000.0</v>
      </c>
      <c r="D19" s="55">
        <v>5000.0</v>
      </c>
      <c r="E19" s="55">
        <v>2500.0</v>
      </c>
      <c r="F19" s="55">
        <v>2500.0</v>
      </c>
      <c r="G19" s="55">
        <v>10000.0</v>
      </c>
      <c r="H19" s="66"/>
      <c r="I19" s="56">
        <f t="shared" si="1"/>
        <v>45000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ht="15.75" customHeight="1">
      <c r="A20" s="54">
        <v>18.0</v>
      </c>
      <c r="B20" s="50" t="s">
        <v>97</v>
      </c>
      <c r="C20" s="58">
        <v>0.0</v>
      </c>
      <c r="D20" s="59">
        <v>0.0</v>
      </c>
      <c r="E20" s="59">
        <v>0.0</v>
      </c>
      <c r="F20" s="59">
        <v>0.0</v>
      </c>
      <c r="G20" s="59">
        <v>0.0</v>
      </c>
      <c r="H20" s="36"/>
      <c r="I20" s="56">
        <f t="shared" si="1"/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ht="15.75" customHeight="1">
      <c r="A21" s="54">
        <v>19.0</v>
      </c>
      <c r="B21" s="3" t="s">
        <v>56</v>
      </c>
      <c r="C21" s="55"/>
      <c r="D21" s="55"/>
      <c r="E21" s="55"/>
      <c r="F21" s="55"/>
      <c r="G21" s="55"/>
      <c r="H21" s="36"/>
      <c r="I21" s="56">
        <f t="shared" si="1"/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ht="15.75" customHeight="1">
      <c r="A22" s="3"/>
      <c r="B22" s="3"/>
      <c r="C22" s="36"/>
      <c r="D22" s="36"/>
      <c r="E22" s="36"/>
      <c r="F22" s="36"/>
      <c r="G22" s="36"/>
      <c r="H22" s="36"/>
      <c r="I22" s="5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ht="15.75" customHeight="1">
      <c r="A23" s="3"/>
      <c r="B23" s="3"/>
      <c r="C23" s="36"/>
      <c r="D23" s="36"/>
      <c r="E23" s="36"/>
      <c r="F23" s="36"/>
      <c r="G23" s="36"/>
      <c r="H23" s="36"/>
      <c r="I23" s="5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ht="15.75" customHeight="1">
      <c r="A24" s="3"/>
      <c r="B24" s="3"/>
      <c r="C24" s="36"/>
      <c r="D24" s="36"/>
      <c r="E24" s="36"/>
      <c r="F24" s="36"/>
      <c r="G24" s="36"/>
      <c r="H24" s="36"/>
      <c r="I24" s="5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ht="15.75" customHeight="1">
      <c r="A25" s="3"/>
      <c r="B25" s="3"/>
      <c r="C25" s="36"/>
      <c r="D25" s="36"/>
      <c r="E25" s="36"/>
      <c r="F25" s="36"/>
      <c r="G25" s="36"/>
      <c r="H25" s="36"/>
      <c r="I25" s="5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ht="15.75" customHeight="1">
      <c r="A26" s="3"/>
      <c r="B26" s="3" t="s">
        <v>57</v>
      </c>
      <c r="C26" s="36"/>
      <c r="D26" s="36"/>
      <c r="E26" s="36"/>
      <c r="F26" s="36"/>
      <c r="G26" s="36"/>
      <c r="H26" s="36"/>
      <c r="I26" s="5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ht="15.75" customHeight="1">
      <c r="A27" s="54">
        <v>1.0</v>
      </c>
      <c r="B27" s="3" t="s">
        <v>58</v>
      </c>
      <c r="C27" s="55">
        <v>35000.0</v>
      </c>
      <c r="D27" s="55">
        <v>5000.0</v>
      </c>
      <c r="E27" s="55">
        <v>2500.0</v>
      </c>
      <c r="F27" s="55">
        <v>2500.0</v>
      </c>
      <c r="G27" s="55">
        <v>10000.0</v>
      </c>
      <c r="H27" s="36"/>
      <c r="I27" s="5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ht="15.75" customHeight="1">
      <c r="A28" s="54">
        <v>2.0</v>
      </c>
      <c r="B28" s="3" t="s">
        <v>59</v>
      </c>
      <c r="C28" s="55">
        <v>35000.0</v>
      </c>
      <c r="D28" s="55">
        <v>5000.0</v>
      </c>
      <c r="E28" s="55">
        <v>2500.0</v>
      </c>
      <c r="F28" s="55">
        <v>2500.0</v>
      </c>
      <c r="G28" s="55">
        <v>10000.0</v>
      </c>
      <c r="H28" s="36"/>
      <c r="I28" s="5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ht="15.75" customHeight="1">
      <c r="A29" s="54">
        <v>3.0</v>
      </c>
      <c r="B29" s="3" t="s">
        <v>60</v>
      </c>
      <c r="C29" s="55">
        <v>35000.0</v>
      </c>
      <c r="D29" s="55">
        <v>5000.0</v>
      </c>
      <c r="E29" s="55">
        <v>2500.0</v>
      </c>
      <c r="F29" s="55">
        <v>2500.0</v>
      </c>
      <c r="G29" s="55">
        <v>10000.0</v>
      </c>
      <c r="H29" s="36"/>
      <c r="I29" s="5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ht="15.75" customHeight="1">
      <c r="A30" s="54">
        <v>4.0</v>
      </c>
      <c r="B30" s="3" t="s">
        <v>61</v>
      </c>
      <c r="C30" s="55">
        <v>35000.0</v>
      </c>
      <c r="D30" s="55">
        <v>5000.0</v>
      </c>
      <c r="E30" s="55">
        <v>2500.0</v>
      </c>
      <c r="F30" s="55">
        <v>2500.0</v>
      </c>
      <c r="G30" s="55">
        <v>10000.0</v>
      </c>
      <c r="H30" s="36"/>
      <c r="I30" s="5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ht="15.75" customHeight="1">
      <c r="A31" s="54">
        <v>5.0</v>
      </c>
      <c r="B31" s="3" t="s">
        <v>62</v>
      </c>
      <c r="C31" s="55">
        <v>35000.0</v>
      </c>
      <c r="D31" s="55">
        <v>5000.0</v>
      </c>
      <c r="E31" s="55">
        <v>2500.0</v>
      </c>
      <c r="F31" s="55">
        <v>2500.0</v>
      </c>
      <c r="G31" s="55">
        <v>10000.0</v>
      </c>
      <c r="H31" s="36"/>
      <c r="I31" s="5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ht="15.75" customHeight="1">
      <c r="A32" s="54">
        <v>6.0</v>
      </c>
      <c r="B32" s="3" t="s">
        <v>63</v>
      </c>
      <c r="C32" s="55">
        <v>35000.0</v>
      </c>
      <c r="D32" s="55">
        <v>5000.0</v>
      </c>
      <c r="E32" s="55">
        <v>2500.0</v>
      </c>
      <c r="F32" s="55">
        <v>2500.0</v>
      </c>
      <c r="G32" s="55">
        <v>10000.0</v>
      </c>
      <c r="H32" s="36"/>
      <c r="I32" s="5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ht="15.75" customHeight="1">
      <c r="A33" s="54">
        <v>7.0</v>
      </c>
      <c r="B33" s="3" t="s">
        <v>64</v>
      </c>
      <c r="C33" s="55">
        <v>35000.0</v>
      </c>
      <c r="D33" s="55">
        <v>5000.0</v>
      </c>
      <c r="E33" s="55">
        <v>2500.0</v>
      </c>
      <c r="F33" s="55">
        <v>2500.0</v>
      </c>
      <c r="G33" s="55">
        <v>10000.0</v>
      </c>
      <c r="H33" s="36"/>
      <c r="I33" s="5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ht="15.75" customHeight="1">
      <c r="A34" s="54">
        <v>8.0</v>
      </c>
      <c r="B34" s="3" t="s">
        <v>65</v>
      </c>
      <c r="C34" s="55">
        <v>35000.0</v>
      </c>
      <c r="D34" s="55">
        <v>5000.0</v>
      </c>
      <c r="E34" s="55">
        <v>2500.0</v>
      </c>
      <c r="F34" s="55">
        <v>2500.0</v>
      </c>
      <c r="G34" s="55">
        <v>10000.0</v>
      </c>
      <c r="H34" s="36"/>
      <c r="I34" s="5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ht="15.75" customHeight="1">
      <c r="A35" s="54">
        <v>9.0</v>
      </c>
      <c r="B35" s="3" t="s">
        <v>66</v>
      </c>
      <c r="C35" s="55">
        <v>35000.0</v>
      </c>
      <c r="D35" s="55">
        <v>5000.0</v>
      </c>
      <c r="E35" s="55">
        <v>2500.0</v>
      </c>
      <c r="F35" s="55">
        <v>2500.0</v>
      </c>
      <c r="G35" s="55">
        <v>10000.0</v>
      </c>
      <c r="H35" s="36"/>
      <c r="I35" s="5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ht="15.75" customHeight="1">
      <c r="A36" s="54">
        <v>10.0</v>
      </c>
      <c r="B36" s="3" t="s">
        <v>67</v>
      </c>
      <c r="C36" s="55">
        <v>35000.0</v>
      </c>
      <c r="D36" s="55">
        <v>5000.0</v>
      </c>
      <c r="E36" s="55">
        <v>2500.0</v>
      </c>
      <c r="F36" s="55">
        <v>2500.0</v>
      </c>
      <c r="G36" s="55">
        <v>10000.0</v>
      </c>
      <c r="H36" s="36"/>
      <c r="I36" s="5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ht="15.75" customHeight="1">
      <c r="A37" s="54">
        <v>11.0</v>
      </c>
      <c r="B37" s="3" t="s">
        <v>68</v>
      </c>
      <c r="C37" s="55">
        <v>35000.0</v>
      </c>
      <c r="D37" s="55">
        <v>5000.0</v>
      </c>
      <c r="E37" s="55">
        <v>2500.0</v>
      </c>
      <c r="F37" s="55">
        <v>2500.0</v>
      </c>
      <c r="G37" s="55">
        <v>10000.0</v>
      </c>
      <c r="H37" s="36"/>
      <c r="I37" s="5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ht="15.75" customHeight="1">
      <c r="A38" s="54">
        <v>12.0</v>
      </c>
      <c r="B38" s="3" t="s">
        <v>69</v>
      </c>
      <c r="C38" s="55">
        <v>35000.0</v>
      </c>
      <c r="D38" s="55">
        <v>5000.0</v>
      </c>
      <c r="E38" s="55">
        <v>2500.0</v>
      </c>
      <c r="F38" s="55">
        <v>2500.0</v>
      </c>
      <c r="G38" s="55">
        <v>10000.0</v>
      </c>
      <c r="H38" s="36"/>
      <c r="I38" s="5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ht="15.75" customHeight="1">
      <c r="A39" s="54">
        <v>13.0</v>
      </c>
      <c r="B39" s="3" t="s">
        <v>70</v>
      </c>
      <c r="C39" s="55">
        <v>35000.0</v>
      </c>
      <c r="D39" s="55">
        <v>5000.0</v>
      </c>
      <c r="E39" s="55">
        <v>2500.0</v>
      </c>
      <c r="F39" s="55">
        <v>2500.0</v>
      </c>
      <c r="G39" s="55">
        <v>10000.0</v>
      </c>
      <c r="H39" s="36"/>
      <c r="I39" s="5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ht="15.75" customHeight="1">
      <c r="A40" s="54">
        <v>14.0</v>
      </c>
      <c r="B40" s="3" t="s">
        <v>71</v>
      </c>
      <c r="C40" s="55">
        <v>35000.0</v>
      </c>
      <c r="D40" s="55">
        <v>5000.0</v>
      </c>
      <c r="E40" s="55">
        <v>2500.0</v>
      </c>
      <c r="F40" s="55">
        <v>2500.0</v>
      </c>
      <c r="G40" s="55">
        <v>10000.0</v>
      </c>
      <c r="H40" s="36"/>
      <c r="I40" s="5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ht="15.75" customHeight="1">
      <c r="A41" s="50">
        <v>15.0</v>
      </c>
      <c r="B41" s="50" t="s">
        <v>118</v>
      </c>
      <c r="C41" s="55">
        <v>0.0</v>
      </c>
      <c r="D41" s="55">
        <v>5000.0</v>
      </c>
      <c r="E41" s="55">
        <v>2500.0</v>
      </c>
      <c r="F41" s="55">
        <v>2500.0</v>
      </c>
      <c r="G41" s="55">
        <v>10000.0</v>
      </c>
      <c r="H41" s="36"/>
      <c r="I41" s="5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ht="15.75" customHeight="1">
      <c r="A42" s="50">
        <v>16.0</v>
      </c>
      <c r="B42" s="50" t="s">
        <v>120</v>
      </c>
      <c r="C42" s="55">
        <v>0.0</v>
      </c>
      <c r="D42" s="55">
        <v>5000.0</v>
      </c>
      <c r="E42" s="55">
        <v>2500.0</v>
      </c>
      <c r="F42" s="55">
        <v>2500.0</v>
      </c>
      <c r="G42" s="55">
        <v>10000.0</v>
      </c>
      <c r="H42" s="36"/>
      <c r="I42" s="5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ht="15.75" customHeight="1">
      <c r="A43" s="50">
        <v>17.0</v>
      </c>
      <c r="B43" s="50" t="s">
        <v>72</v>
      </c>
      <c r="C43" s="76">
        <v>30000.0</v>
      </c>
      <c r="D43" s="76">
        <v>0.0</v>
      </c>
      <c r="E43" s="76">
        <v>0.0</v>
      </c>
      <c r="F43" s="76">
        <v>0.0</v>
      </c>
      <c r="G43" s="76">
        <v>0.0</v>
      </c>
      <c r="H43" s="36"/>
      <c r="I43" s="5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ht="15.75" customHeight="1">
      <c r="A44" s="3"/>
      <c r="B44" s="3"/>
      <c r="C44" s="36"/>
      <c r="D44" s="36"/>
      <c r="E44" s="36"/>
      <c r="F44" s="36"/>
      <c r="G44" s="36"/>
      <c r="H44" s="36"/>
      <c r="I44" s="5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ht="15.75" customHeight="1">
      <c r="A45" s="3"/>
      <c r="B45" s="3"/>
      <c r="C45" s="36"/>
      <c r="D45" s="36"/>
      <c r="E45" s="36"/>
      <c r="F45" s="36"/>
      <c r="G45" s="36"/>
      <c r="H45" s="36"/>
      <c r="I45" s="5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ht="15.75" customHeight="1">
      <c r="A46" s="3"/>
      <c r="B46" s="3" t="s">
        <v>74</v>
      </c>
      <c r="C46" s="36"/>
      <c r="D46" s="36"/>
      <c r="E46" s="36"/>
      <c r="F46" s="36"/>
      <c r="G46" s="36"/>
      <c r="H46" s="36"/>
      <c r="I46" s="5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ht="15.75" customHeight="1">
      <c r="A47" s="62">
        <v>1.0</v>
      </c>
      <c r="B47" s="75" t="s">
        <v>103</v>
      </c>
      <c r="C47" s="55"/>
      <c r="D47" s="63"/>
      <c r="E47" s="63"/>
      <c r="F47" s="63"/>
      <c r="G47" s="63"/>
      <c r="H47" s="36"/>
      <c r="I47" s="5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ht="15.75" customHeight="1">
      <c r="A48" s="62">
        <v>2.0</v>
      </c>
      <c r="B48" s="75" t="s">
        <v>104</v>
      </c>
      <c r="C48" s="63"/>
      <c r="D48" s="63"/>
      <c r="E48" s="63"/>
      <c r="F48" s="63"/>
      <c r="G48" s="63"/>
      <c r="H48" s="36"/>
      <c r="I48" s="5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ht="15.75" customHeight="1">
      <c r="A49" s="62">
        <v>3.0</v>
      </c>
      <c r="B49" s="75" t="s">
        <v>105</v>
      </c>
      <c r="C49" s="63"/>
      <c r="D49" s="63"/>
      <c r="E49" s="63"/>
      <c r="F49" s="63"/>
      <c r="G49" s="63"/>
      <c r="H49" s="36"/>
      <c r="I49" s="5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ht="15.75" customHeight="1">
      <c r="A50" s="62">
        <v>4.0</v>
      </c>
      <c r="B50" s="75" t="s">
        <v>106</v>
      </c>
      <c r="C50" s="63"/>
      <c r="D50" s="63"/>
      <c r="E50" s="63"/>
      <c r="F50" s="63"/>
      <c r="G50" s="63"/>
      <c r="H50" s="36"/>
      <c r="I50" s="5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ht="15.75" customHeight="1">
      <c r="A51" s="62">
        <v>5.0</v>
      </c>
      <c r="B51" s="75" t="s">
        <v>107</v>
      </c>
      <c r="C51" s="63"/>
      <c r="D51" s="63"/>
      <c r="E51" s="63"/>
      <c r="F51" s="63"/>
      <c r="G51" s="63"/>
      <c r="H51" s="36"/>
      <c r="I51" s="5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ht="15.75" customHeight="1">
      <c r="A52" s="62">
        <v>6.0</v>
      </c>
      <c r="B52" s="75" t="s">
        <v>108</v>
      </c>
      <c r="C52" s="63"/>
      <c r="D52" s="63"/>
      <c r="E52" s="63"/>
      <c r="F52" s="63"/>
      <c r="G52" s="63"/>
      <c r="H52" s="36"/>
      <c r="I52" s="5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ht="15.75" customHeight="1">
      <c r="A53" s="62">
        <v>7.0</v>
      </c>
      <c r="B53" s="75" t="s">
        <v>109</v>
      </c>
      <c r="C53" s="63"/>
      <c r="D53" s="63"/>
      <c r="E53" s="63"/>
      <c r="F53" s="63"/>
      <c r="G53" s="63"/>
      <c r="H53" s="36"/>
      <c r="I53" s="5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ht="15.75" customHeight="1">
      <c r="A54" s="62">
        <v>8.0</v>
      </c>
      <c r="B54" s="75" t="s">
        <v>110</v>
      </c>
      <c r="C54" s="63"/>
      <c r="D54" s="63"/>
      <c r="E54" s="63"/>
      <c r="F54" s="63"/>
      <c r="G54" s="63"/>
      <c r="H54" s="36"/>
      <c r="I54" s="5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ht="15.75" customHeight="1">
      <c r="A55" s="62">
        <v>9.0</v>
      </c>
      <c r="B55" s="75" t="s">
        <v>111</v>
      </c>
      <c r="C55" s="63"/>
      <c r="D55" s="63"/>
      <c r="E55" s="63"/>
      <c r="F55" s="63"/>
      <c r="G55" s="63"/>
      <c r="H55" s="36"/>
      <c r="I55" s="5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ht="15.75" customHeight="1">
      <c r="A56" s="62">
        <v>10.0</v>
      </c>
      <c r="B56" s="75" t="s">
        <v>112</v>
      </c>
      <c r="C56" s="63"/>
      <c r="D56" s="63"/>
      <c r="E56" s="63"/>
      <c r="F56" s="63"/>
      <c r="G56" s="63"/>
      <c r="H56" s="36"/>
      <c r="I56" s="5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ht="15.75" customHeight="1">
      <c r="A57" s="62">
        <v>11.0</v>
      </c>
      <c r="B57" s="75" t="s">
        <v>113</v>
      </c>
      <c r="C57" s="63"/>
      <c r="D57" s="63"/>
      <c r="E57" s="63"/>
      <c r="F57" s="63"/>
      <c r="G57" s="63"/>
      <c r="H57" s="36"/>
      <c r="I57" s="5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ht="15.75" customHeight="1">
      <c r="A58" s="62">
        <v>12.0</v>
      </c>
      <c r="B58" s="75" t="s">
        <v>114</v>
      </c>
      <c r="C58" s="63"/>
      <c r="D58" s="63"/>
      <c r="E58" s="63"/>
      <c r="F58" s="63"/>
      <c r="G58" s="63"/>
      <c r="H58" s="36"/>
      <c r="I58" s="5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ht="15.75" customHeight="1">
      <c r="A59" s="62">
        <v>13.0</v>
      </c>
      <c r="B59" s="75" t="s">
        <v>115</v>
      </c>
      <c r="C59" s="55"/>
      <c r="D59" s="55"/>
      <c r="E59" s="55"/>
      <c r="F59" s="55"/>
      <c r="G59" s="55"/>
      <c r="H59" s="36"/>
      <c r="I59" s="5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ht="15.75" customHeight="1">
      <c r="A60" s="50">
        <v>14.0</v>
      </c>
      <c r="B60" s="75" t="s">
        <v>116</v>
      </c>
      <c r="C60" s="55"/>
      <c r="D60" s="55"/>
      <c r="E60" s="55"/>
      <c r="F60" s="55"/>
      <c r="G60" s="55"/>
      <c r="H60" s="36"/>
      <c r="I60" s="5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ht="15.75" customHeight="1">
      <c r="A61" s="3"/>
      <c r="B61" s="3"/>
      <c r="C61" s="36"/>
      <c r="D61" s="36"/>
      <c r="E61" s="36"/>
      <c r="F61" s="36"/>
      <c r="G61" s="36"/>
      <c r="H61" s="36"/>
      <c r="I61" s="5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ht="15.75" customHeight="1">
      <c r="A62" s="3"/>
      <c r="B62" s="3"/>
      <c r="C62" s="36"/>
      <c r="D62" s="36"/>
      <c r="E62" s="36"/>
      <c r="F62" s="36"/>
      <c r="G62" s="36"/>
      <c r="H62" s="36"/>
      <c r="I62" s="5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ht="15.75" customHeight="1">
      <c r="A63" s="3"/>
      <c r="B63" s="3"/>
      <c r="C63" s="36"/>
      <c r="D63" s="36"/>
      <c r="E63" s="36"/>
      <c r="F63" s="36"/>
      <c r="G63" s="36"/>
      <c r="H63" s="36"/>
      <c r="I63" s="36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ht="15.75" customHeight="1">
      <c r="A64" s="3"/>
      <c r="B64" s="3" t="s">
        <v>87</v>
      </c>
      <c r="C64" s="36"/>
      <c r="D64" s="36"/>
      <c r="E64" s="36"/>
      <c r="F64" s="36"/>
      <c r="G64" s="36"/>
      <c r="H64" s="36"/>
      <c r="I64" s="5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ht="15.75" customHeight="1">
      <c r="A65" s="50">
        <v>1.0</v>
      </c>
      <c r="B65" s="50" t="s">
        <v>121</v>
      </c>
      <c r="C65" s="76">
        <v>105000.0</v>
      </c>
      <c r="D65" s="76">
        <v>15000.0</v>
      </c>
      <c r="E65" s="76">
        <v>7500.0</v>
      </c>
      <c r="F65" s="76">
        <v>7500.0</v>
      </c>
      <c r="G65" s="76">
        <v>30000.0</v>
      </c>
      <c r="H65" s="67"/>
      <c r="I65" s="56">
        <f t="shared" ref="I65:I67" si="2">SUM(C65:F65)</f>
        <v>135000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ht="15.75" customHeight="1">
      <c r="A66" s="3"/>
      <c r="B66" s="3"/>
      <c r="C66" s="36"/>
      <c r="D66" s="36"/>
      <c r="E66" s="36"/>
      <c r="F66" s="36"/>
      <c r="G66" s="36"/>
      <c r="H66" s="3"/>
      <c r="I66" s="56">
        <f t="shared" si="2"/>
        <v>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ht="15.75" customHeight="1">
      <c r="A67" s="3"/>
      <c r="B67" s="3"/>
      <c r="C67" s="36"/>
      <c r="D67" s="36"/>
      <c r="E67" s="36"/>
      <c r="F67" s="36"/>
      <c r="G67" s="36"/>
      <c r="H67" s="3"/>
      <c r="I67" s="56">
        <f t="shared" si="2"/>
        <v>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5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ht="15.75" customHeight="1">
      <c r="A69" s="3"/>
      <c r="B69" s="3"/>
      <c r="C69" s="36"/>
      <c r="D69" s="36"/>
      <c r="E69" s="36"/>
      <c r="F69" s="36"/>
      <c r="G69" s="36"/>
      <c r="H69" s="36"/>
      <c r="I69" s="5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ht="15.75" customHeight="1">
      <c r="A70" s="3"/>
      <c r="B70" s="3"/>
      <c r="C70" s="36"/>
      <c r="D70" s="36"/>
      <c r="E70" s="36"/>
      <c r="F70" s="36"/>
      <c r="G70" s="36"/>
      <c r="H70" s="36"/>
      <c r="I70" s="5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ht="15.75" customHeight="1">
      <c r="A71" s="3"/>
      <c r="B71" s="3"/>
      <c r="C71" s="36"/>
      <c r="D71" s="36"/>
      <c r="E71" s="36"/>
      <c r="F71" s="36"/>
      <c r="G71" s="36"/>
      <c r="H71" s="36"/>
      <c r="I71" s="5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ht="15.75" customHeight="1">
      <c r="A72" s="3"/>
      <c r="B72" s="3"/>
      <c r="C72" s="36"/>
      <c r="D72" s="36"/>
      <c r="E72" s="36"/>
      <c r="F72" s="36"/>
      <c r="G72" s="36"/>
      <c r="H72" s="36"/>
      <c r="I72" s="5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ht="15.75" customHeight="1">
      <c r="A73" s="3"/>
      <c r="B73" s="3"/>
      <c r="C73" s="36"/>
      <c r="D73" s="36"/>
      <c r="E73" s="36"/>
      <c r="F73" s="36"/>
      <c r="G73" s="36"/>
      <c r="H73" s="36"/>
      <c r="I73" s="5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ht="15.75" customHeight="1">
      <c r="A74" s="3"/>
      <c r="B74" s="3"/>
      <c r="C74" s="36"/>
      <c r="D74" s="36"/>
      <c r="E74" s="36"/>
      <c r="F74" s="36"/>
      <c r="G74" s="36"/>
      <c r="H74" s="36"/>
      <c r="I74" s="5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ht="15.75" customHeight="1">
      <c r="A75" s="3"/>
      <c r="B75" s="3"/>
      <c r="C75" s="36"/>
      <c r="D75" s="36"/>
      <c r="E75" s="36"/>
      <c r="F75" s="36"/>
      <c r="G75" s="36"/>
      <c r="H75" s="36"/>
      <c r="I75" s="5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ht="15.75" customHeight="1">
      <c r="A76" s="69">
        <v>2.0</v>
      </c>
      <c r="B76" s="3" t="s">
        <v>90</v>
      </c>
      <c r="C76" s="35">
        <f t="shared" ref="C76:G76" si="3">SUM(C3:C24)</f>
        <v>525000</v>
      </c>
      <c r="D76" s="35">
        <f t="shared" si="3"/>
        <v>75000</v>
      </c>
      <c r="E76" s="35">
        <f t="shared" si="3"/>
        <v>35000</v>
      </c>
      <c r="F76" s="35">
        <f t="shared" si="3"/>
        <v>35000</v>
      </c>
      <c r="G76" s="35">
        <f t="shared" si="3"/>
        <v>140000</v>
      </c>
      <c r="H76" s="35">
        <f t="shared" ref="H76:H78" si="5">SUM(C76:G76)</f>
        <v>810000</v>
      </c>
      <c r="I76" s="56">
        <f>SUM(C76:F76)</f>
        <v>670000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ht="15.75" customHeight="1">
      <c r="A77" s="69">
        <v>3.0</v>
      </c>
      <c r="B77" s="3" t="s">
        <v>91</v>
      </c>
      <c r="C77" s="70">
        <f t="shared" ref="C77:G77" si="4">SuM(C27:C44)</f>
        <v>520000</v>
      </c>
      <c r="D77" s="70">
        <f t="shared" si="4"/>
        <v>80000</v>
      </c>
      <c r="E77" s="70">
        <f t="shared" si="4"/>
        <v>40000</v>
      </c>
      <c r="F77" s="70">
        <f t="shared" si="4"/>
        <v>40000</v>
      </c>
      <c r="G77" s="70">
        <f t="shared" si="4"/>
        <v>160000</v>
      </c>
      <c r="H77" s="35">
        <f t="shared" si="5"/>
        <v>840000</v>
      </c>
      <c r="I77" s="5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ht="15.75" customHeight="1">
      <c r="A78" s="69">
        <v>4.0</v>
      </c>
      <c r="B78" s="3" t="s">
        <v>92</v>
      </c>
      <c r="C78" s="35">
        <f t="shared" ref="C78:G78" si="6">SUM(C47:C62)</f>
        <v>0</v>
      </c>
      <c r="D78" s="35">
        <f t="shared" si="6"/>
        <v>0</v>
      </c>
      <c r="E78" s="35">
        <f t="shared" si="6"/>
        <v>0</v>
      </c>
      <c r="F78" s="35">
        <f t="shared" si="6"/>
        <v>0</v>
      </c>
      <c r="G78" s="35">
        <f t="shared" si="6"/>
        <v>0</v>
      </c>
      <c r="H78" s="35">
        <f t="shared" si="5"/>
        <v>0</v>
      </c>
      <c r="I78" s="56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ht="15.75" customHeight="1">
      <c r="A79" s="69">
        <v>5.0</v>
      </c>
      <c r="B79" s="3" t="s">
        <v>93</v>
      </c>
      <c r="C79" s="70">
        <f>Apr!C33</f>
        <v>6169500</v>
      </c>
      <c r="D79" s="70">
        <f>Apr!C34</f>
        <v>1777000</v>
      </c>
      <c r="E79" s="70">
        <f>Apr!C35</f>
        <v>631000</v>
      </c>
      <c r="F79" s="70">
        <f>Apr!C36</f>
        <v>1120000</v>
      </c>
      <c r="G79" s="70">
        <f>Apr!C37</f>
        <v>3588500</v>
      </c>
      <c r="H79" s="74">
        <f>Apr!C38</f>
        <v>13286000</v>
      </c>
      <c r="I79" s="5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ht="15.75" customHeight="1">
      <c r="A80" s="3"/>
      <c r="B80" s="72" t="s">
        <v>94</v>
      </c>
      <c r="C80" s="35">
        <f t="shared" ref="C80:G80" si="7">SUM(C66:C79)</f>
        <v>7214500</v>
      </c>
      <c r="D80" s="35">
        <f t="shared" si="7"/>
        <v>1932000</v>
      </c>
      <c r="E80" s="35">
        <f t="shared" si="7"/>
        <v>706000</v>
      </c>
      <c r="F80" s="35">
        <f t="shared" si="7"/>
        <v>1195000</v>
      </c>
      <c r="G80" s="35">
        <f t="shared" si="7"/>
        <v>3888500</v>
      </c>
      <c r="H80" s="35">
        <f>SUM(C80:G80)</f>
        <v>14936000</v>
      </c>
      <c r="I80" s="5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51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51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ht="15.75" customHeight="1">
      <c r="A83" s="3"/>
      <c r="B83" s="70"/>
      <c r="C83" s="70"/>
      <c r="D83" s="70"/>
      <c r="E83" s="70"/>
      <c r="F83" s="70"/>
      <c r="G83" s="70"/>
      <c r="H83" s="70"/>
      <c r="I83" s="51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ht="15.75" customHeight="1">
      <c r="A84" s="3"/>
      <c r="B84" s="3"/>
      <c r="C84" s="70"/>
      <c r="D84" s="3"/>
      <c r="E84" s="3"/>
      <c r="F84" s="3"/>
      <c r="G84" s="3"/>
      <c r="H84" s="3"/>
      <c r="I84" s="51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51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ht="15.75" customHeight="1">
      <c r="A86" s="3"/>
      <c r="B86" s="3"/>
      <c r="C86" s="23"/>
      <c r="D86" s="3"/>
      <c r="E86" s="3"/>
      <c r="F86" s="3"/>
      <c r="G86" s="3"/>
      <c r="H86" s="3"/>
      <c r="I86" s="51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51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51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51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51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51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51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51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51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51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51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51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51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51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51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51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51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51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51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51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51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51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51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51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51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51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51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51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51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51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51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51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51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51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51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51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51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51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51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51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51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51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51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51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51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51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51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51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51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51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51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51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51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51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51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51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51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51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51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51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51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51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51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51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51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51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51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51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51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51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51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51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51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51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51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51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51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51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51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51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51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51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51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51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51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51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51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51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51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51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51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51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51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51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51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51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51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51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51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51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51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51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51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51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51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51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51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51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51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51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51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51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51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51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51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51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51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51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51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51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51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51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51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51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51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51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51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51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51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51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51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51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51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51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51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51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51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51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51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51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51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51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51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51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51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51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51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51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51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51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51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51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51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51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51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51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51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51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51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51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51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51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51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51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51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51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51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51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51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51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51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51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51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51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51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51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51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51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51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51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51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51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51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51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51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51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51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51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51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51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51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51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51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51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51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23.13"/>
    <col customWidth="1" min="3" max="4" width="13.38"/>
    <col customWidth="1" min="5" max="5" width="12.75"/>
    <col customWidth="1" min="6" max="6" width="13.25"/>
    <col customWidth="1" min="9" max="9" width="14.13"/>
  </cols>
  <sheetData>
    <row r="1" ht="15.75" customHeight="1">
      <c r="A1" s="3"/>
      <c r="B1" s="3" t="s">
        <v>30</v>
      </c>
      <c r="C1" s="50" t="s">
        <v>31</v>
      </c>
      <c r="D1" s="3" t="s">
        <v>32</v>
      </c>
      <c r="E1" s="3" t="s">
        <v>33</v>
      </c>
      <c r="F1" s="3" t="s">
        <v>34</v>
      </c>
      <c r="G1" s="50" t="s">
        <v>95</v>
      </c>
      <c r="H1" s="3"/>
      <c r="I1" s="51" t="s">
        <v>36</v>
      </c>
      <c r="J1" s="3"/>
      <c r="K1" s="3"/>
      <c r="L1" s="3"/>
      <c r="M1" s="3"/>
      <c r="N1" s="3"/>
      <c r="O1" s="5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15.75" customHeight="1">
      <c r="A2" s="3"/>
      <c r="B2" s="3" t="s">
        <v>37</v>
      </c>
      <c r="C2" s="36"/>
      <c r="D2" s="36"/>
      <c r="E2" s="36"/>
      <c r="F2" s="36"/>
      <c r="G2" s="36"/>
      <c r="H2" s="36"/>
      <c r="I2" s="5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15.75" customHeight="1">
      <c r="A3" s="54">
        <v>1.0</v>
      </c>
      <c r="B3" s="3" t="s">
        <v>38</v>
      </c>
      <c r="C3" s="55">
        <v>35000.0</v>
      </c>
      <c r="D3" s="55">
        <v>5000.0</v>
      </c>
      <c r="E3" s="55">
        <v>2500.0</v>
      </c>
      <c r="F3" s="55">
        <v>2500.0</v>
      </c>
      <c r="G3" s="55">
        <v>10000.0</v>
      </c>
      <c r="H3" s="36"/>
      <c r="I3" s="56">
        <f t="shared" ref="I3:I21" si="1">SUM(C3:F3)</f>
        <v>45000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15.75" customHeight="1">
      <c r="A4" s="54">
        <v>2.0</v>
      </c>
      <c r="B4" s="3" t="s">
        <v>39</v>
      </c>
      <c r="C4" s="55">
        <v>35000.0</v>
      </c>
      <c r="D4" s="55">
        <v>5000.0</v>
      </c>
      <c r="E4" s="55">
        <v>2500.0</v>
      </c>
      <c r="F4" s="55">
        <v>2500.0</v>
      </c>
      <c r="G4" s="55">
        <v>10000.0</v>
      </c>
      <c r="H4" s="36"/>
      <c r="I4" s="56">
        <f t="shared" si="1"/>
        <v>45000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ht="15.75" customHeight="1">
      <c r="A5" s="54">
        <v>3.0</v>
      </c>
      <c r="B5" s="3" t="s">
        <v>40</v>
      </c>
      <c r="C5" s="55">
        <v>35000.0</v>
      </c>
      <c r="D5" s="55">
        <v>5000.0</v>
      </c>
      <c r="E5" s="55">
        <v>2500.0</v>
      </c>
      <c r="F5" s="55">
        <v>2500.0</v>
      </c>
      <c r="G5" s="55">
        <v>10000.0</v>
      </c>
      <c r="H5" s="36"/>
      <c r="I5" s="56">
        <f t="shared" si="1"/>
        <v>45000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15.75" customHeight="1">
      <c r="A6" s="54">
        <v>4.0</v>
      </c>
      <c r="B6" s="3" t="s">
        <v>41</v>
      </c>
      <c r="C6" s="55">
        <v>35000.0</v>
      </c>
      <c r="D6" s="55">
        <v>5000.0</v>
      </c>
      <c r="E6" s="55">
        <v>2500.0</v>
      </c>
      <c r="F6" s="55">
        <v>2500.0</v>
      </c>
      <c r="G6" s="55">
        <v>10000.0</v>
      </c>
      <c r="H6" s="36"/>
      <c r="I6" s="56">
        <f t="shared" si="1"/>
        <v>45000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ht="15.75" customHeight="1">
      <c r="A7" s="54">
        <v>5.0</v>
      </c>
      <c r="B7" s="3" t="s">
        <v>42</v>
      </c>
      <c r="C7" s="55">
        <v>35000.0</v>
      </c>
      <c r="D7" s="55">
        <v>5000.0</v>
      </c>
      <c r="E7" s="55">
        <v>2500.0</v>
      </c>
      <c r="F7" s="55">
        <v>2500.0</v>
      </c>
      <c r="G7" s="55">
        <v>10000.0</v>
      </c>
      <c r="H7" s="36"/>
      <c r="I7" s="56">
        <f t="shared" si="1"/>
        <v>45000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ht="15.75" customHeight="1">
      <c r="A8" s="54">
        <v>6.0</v>
      </c>
      <c r="B8" s="3" t="s">
        <v>43</v>
      </c>
      <c r="C8" s="55">
        <v>70000.0</v>
      </c>
      <c r="D8" s="55">
        <v>10000.0</v>
      </c>
      <c r="E8" s="55">
        <v>2500.0</v>
      </c>
      <c r="F8" s="55">
        <v>2500.0</v>
      </c>
      <c r="G8" s="55">
        <v>10000.0</v>
      </c>
      <c r="H8" s="36"/>
      <c r="I8" s="56">
        <f t="shared" si="1"/>
        <v>85000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15.75" customHeight="1">
      <c r="A9" s="54">
        <v>7.0</v>
      </c>
      <c r="B9" s="3" t="s">
        <v>44</v>
      </c>
      <c r="C9" s="55">
        <v>35000.0</v>
      </c>
      <c r="D9" s="55">
        <v>5000.0</v>
      </c>
      <c r="E9" s="55">
        <v>2500.0</v>
      </c>
      <c r="F9" s="55">
        <v>2500.0</v>
      </c>
      <c r="G9" s="55">
        <v>10000.0</v>
      </c>
      <c r="H9" s="36"/>
      <c r="I9" s="56">
        <f t="shared" si="1"/>
        <v>45000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57"/>
      <c r="Z9" s="3"/>
      <c r="AA9" s="3"/>
      <c r="AB9" s="3"/>
      <c r="AC9" s="3"/>
    </row>
    <row r="10" ht="15.75" customHeight="1">
      <c r="A10" s="54">
        <v>8.0</v>
      </c>
      <c r="B10" s="3" t="s">
        <v>45</v>
      </c>
      <c r="C10" s="55">
        <v>35000.0</v>
      </c>
      <c r="D10" s="55">
        <v>5000.0</v>
      </c>
      <c r="E10" s="55">
        <v>2500.0</v>
      </c>
      <c r="F10" s="55">
        <v>2500.0</v>
      </c>
      <c r="G10" s="55">
        <v>10000.0</v>
      </c>
      <c r="H10" s="36"/>
      <c r="I10" s="56">
        <f t="shared" si="1"/>
        <v>45000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15.75" customHeight="1">
      <c r="A11" s="54">
        <v>9.0</v>
      </c>
      <c r="B11" s="3" t="s">
        <v>46</v>
      </c>
      <c r="C11" s="55">
        <v>35000.0</v>
      </c>
      <c r="D11" s="55">
        <v>5000.0</v>
      </c>
      <c r="E11" s="55">
        <v>2500.0</v>
      </c>
      <c r="F11" s="55">
        <v>2500.0</v>
      </c>
      <c r="G11" s="55">
        <v>10000.0</v>
      </c>
      <c r="H11" s="36"/>
      <c r="I11" s="56">
        <f t="shared" si="1"/>
        <v>45000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15.75" customHeight="1">
      <c r="A12" s="54">
        <v>10.0</v>
      </c>
      <c r="B12" s="3" t="s">
        <v>47</v>
      </c>
      <c r="C12" s="55">
        <v>35000.0</v>
      </c>
      <c r="D12" s="55">
        <v>5000.0</v>
      </c>
      <c r="E12" s="55">
        <v>2500.0</v>
      </c>
      <c r="F12" s="55">
        <v>2500.0</v>
      </c>
      <c r="G12" s="55">
        <v>10000.0</v>
      </c>
      <c r="H12" s="36"/>
      <c r="I12" s="56">
        <f t="shared" si="1"/>
        <v>45000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ht="15.75" customHeight="1">
      <c r="A13" s="54">
        <v>11.0</v>
      </c>
      <c r="B13" s="3" t="s">
        <v>48</v>
      </c>
      <c r="C13" s="55">
        <v>35000.0</v>
      </c>
      <c r="D13" s="55">
        <v>5000.0</v>
      </c>
      <c r="E13" s="55">
        <v>2500.0</v>
      </c>
      <c r="F13" s="55">
        <v>2500.0</v>
      </c>
      <c r="G13" s="55">
        <v>10000.0</v>
      </c>
      <c r="H13" s="36"/>
      <c r="I13" s="56">
        <f t="shared" si="1"/>
        <v>45000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15.75" customHeight="1">
      <c r="A14" s="54">
        <v>12.0</v>
      </c>
      <c r="B14" s="3" t="s">
        <v>49</v>
      </c>
      <c r="C14" s="58">
        <v>0.0</v>
      </c>
      <c r="D14" s="59">
        <v>0.0</v>
      </c>
      <c r="E14" s="59">
        <v>0.0</v>
      </c>
      <c r="F14" s="59">
        <v>0.0</v>
      </c>
      <c r="G14" s="59">
        <v>0.0</v>
      </c>
      <c r="H14" s="36"/>
      <c r="I14" s="56">
        <f t="shared" si="1"/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15.75" customHeight="1">
      <c r="A15" s="54">
        <v>13.0</v>
      </c>
      <c r="B15" s="3" t="s">
        <v>50</v>
      </c>
      <c r="C15" s="55">
        <v>35000.0</v>
      </c>
      <c r="D15" s="55">
        <v>5000.0</v>
      </c>
      <c r="E15" s="55">
        <v>2500.0</v>
      </c>
      <c r="F15" s="55">
        <v>2500.0</v>
      </c>
      <c r="G15" s="55">
        <v>10000.0</v>
      </c>
      <c r="H15" s="36"/>
      <c r="I15" s="56">
        <f t="shared" si="1"/>
        <v>45000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15.75" customHeight="1">
      <c r="A16" s="54">
        <v>14.0</v>
      </c>
      <c r="B16" s="3" t="s">
        <v>51</v>
      </c>
      <c r="C16" s="55">
        <v>35000.0</v>
      </c>
      <c r="D16" s="55">
        <v>5000.0</v>
      </c>
      <c r="E16" s="55">
        <v>2500.0</v>
      </c>
      <c r="F16" s="55">
        <v>2500.0</v>
      </c>
      <c r="G16" s="55">
        <v>10000.0</v>
      </c>
      <c r="H16" s="36"/>
      <c r="I16" s="56">
        <f t="shared" si="1"/>
        <v>45000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ht="15.75" customHeight="1">
      <c r="A17" s="54">
        <v>15.0</v>
      </c>
      <c r="B17" s="3" t="s">
        <v>96</v>
      </c>
      <c r="C17" s="58">
        <v>0.0</v>
      </c>
      <c r="D17" s="59">
        <v>0.0</v>
      </c>
      <c r="E17" s="59">
        <v>0.0</v>
      </c>
      <c r="F17" s="59">
        <v>0.0</v>
      </c>
      <c r="G17" s="59">
        <v>0.0</v>
      </c>
      <c r="H17" s="36"/>
      <c r="I17" s="56">
        <f t="shared" si="1"/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ht="15.75" customHeight="1">
      <c r="A18" s="54">
        <v>16.0</v>
      </c>
      <c r="B18" s="3" t="s">
        <v>53</v>
      </c>
      <c r="C18" s="58">
        <v>0.0</v>
      </c>
      <c r="D18" s="59">
        <v>0.0</v>
      </c>
      <c r="E18" s="59">
        <v>0.0</v>
      </c>
      <c r="F18" s="59">
        <v>0.0</v>
      </c>
      <c r="G18" s="59">
        <v>0.0</v>
      </c>
      <c r="H18" s="36"/>
      <c r="I18" s="56">
        <f t="shared" si="1"/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ht="15.75" customHeight="1">
      <c r="A19" s="54">
        <v>17.0</v>
      </c>
      <c r="B19" s="3" t="s">
        <v>54</v>
      </c>
      <c r="C19" s="55">
        <v>35000.0</v>
      </c>
      <c r="D19" s="55">
        <v>5000.0</v>
      </c>
      <c r="E19" s="55">
        <v>2500.0</v>
      </c>
      <c r="F19" s="55">
        <v>2500.0</v>
      </c>
      <c r="G19" s="55">
        <v>10000.0</v>
      </c>
      <c r="H19" s="36"/>
      <c r="I19" s="56">
        <f t="shared" si="1"/>
        <v>45000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ht="15.75" customHeight="1">
      <c r="A20" s="54">
        <v>18.0</v>
      </c>
      <c r="B20" s="50" t="s">
        <v>97</v>
      </c>
      <c r="C20" s="58">
        <v>0.0</v>
      </c>
      <c r="D20" s="59">
        <v>0.0</v>
      </c>
      <c r="E20" s="59">
        <v>0.0</v>
      </c>
      <c r="F20" s="59">
        <v>0.0</v>
      </c>
      <c r="G20" s="59">
        <v>0.0</v>
      </c>
      <c r="H20" s="36"/>
      <c r="I20" s="56">
        <f t="shared" si="1"/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ht="15.75" customHeight="1">
      <c r="A21" s="54">
        <v>19.0</v>
      </c>
      <c r="B21" s="3" t="s">
        <v>56</v>
      </c>
      <c r="C21" s="59"/>
      <c r="D21" s="59"/>
      <c r="E21" s="59"/>
      <c r="F21" s="59"/>
      <c r="G21" s="59"/>
      <c r="H21" s="36"/>
      <c r="I21" s="56">
        <f t="shared" si="1"/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ht="15.75" customHeight="1">
      <c r="A22" s="3"/>
      <c r="B22" s="3"/>
      <c r="C22" s="36"/>
      <c r="D22" s="36"/>
      <c r="E22" s="36"/>
      <c r="F22" s="36"/>
      <c r="G22" s="36"/>
      <c r="H22" s="36"/>
      <c r="I22" s="5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ht="15.75" customHeight="1">
      <c r="A23" s="3"/>
      <c r="B23" s="3"/>
      <c r="C23" s="36"/>
      <c r="D23" s="36"/>
      <c r="E23" s="36"/>
      <c r="F23" s="36"/>
      <c r="G23" s="36"/>
      <c r="H23" s="36"/>
      <c r="I23" s="5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ht="15.75" customHeight="1">
      <c r="A24" s="3"/>
      <c r="B24" s="3"/>
      <c r="C24" s="36"/>
      <c r="D24" s="36"/>
      <c r="E24" s="36"/>
      <c r="F24" s="36"/>
      <c r="G24" s="36"/>
      <c r="H24" s="36"/>
      <c r="I24" s="5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ht="15.75" customHeight="1">
      <c r="A25" s="3"/>
      <c r="B25" s="3"/>
      <c r="C25" s="36"/>
      <c r="D25" s="36"/>
      <c r="E25" s="36"/>
      <c r="F25" s="36"/>
      <c r="G25" s="36"/>
      <c r="H25" s="36"/>
      <c r="I25" s="5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ht="15.75" customHeight="1">
      <c r="A26" s="3"/>
      <c r="B26" s="3" t="s">
        <v>57</v>
      </c>
      <c r="C26" s="36"/>
      <c r="D26" s="36"/>
      <c r="E26" s="36"/>
      <c r="F26" s="36"/>
      <c r="G26" s="36"/>
      <c r="H26" s="36"/>
      <c r="I26" s="5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ht="15.75" customHeight="1">
      <c r="A27" s="54">
        <v>1.0</v>
      </c>
      <c r="B27" s="3" t="s">
        <v>58</v>
      </c>
      <c r="C27" s="63"/>
      <c r="D27" s="63"/>
      <c r="E27" s="63"/>
      <c r="F27" s="63"/>
      <c r="G27" s="63"/>
      <c r="H27" s="36"/>
      <c r="I27" s="5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ht="15.75" customHeight="1">
      <c r="A28" s="54">
        <v>2.0</v>
      </c>
      <c r="B28" s="3" t="s">
        <v>59</v>
      </c>
      <c r="C28" s="63"/>
      <c r="D28" s="63"/>
      <c r="E28" s="63"/>
      <c r="F28" s="63"/>
      <c r="G28" s="63"/>
      <c r="H28" s="36"/>
      <c r="I28" s="5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ht="15.75" customHeight="1">
      <c r="A29" s="54">
        <v>3.0</v>
      </c>
      <c r="B29" s="3" t="s">
        <v>60</v>
      </c>
      <c r="C29" s="63"/>
      <c r="D29" s="63"/>
      <c r="E29" s="63"/>
      <c r="F29" s="63"/>
      <c r="G29" s="63"/>
      <c r="H29" s="36"/>
      <c r="I29" s="5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ht="15.75" customHeight="1">
      <c r="A30" s="54">
        <v>4.0</v>
      </c>
      <c r="B30" s="3" t="s">
        <v>61</v>
      </c>
      <c r="C30" s="63"/>
      <c r="D30" s="63"/>
      <c r="E30" s="63"/>
      <c r="F30" s="63"/>
      <c r="G30" s="63"/>
      <c r="H30" s="36"/>
      <c r="I30" s="5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ht="15.75" customHeight="1">
      <c r="A31" s="54">
        <v>5.0</v>
      </c>
      <c r="B31" s="3" t="s">
        <v>62</v>
      </c>
      <c r="C31" s="63"/>
      <c r="D31" s="63"/>
      <c r="E31" s="63"/>
      <c r="F31" s="63"/>
      <c r="G31" s="63"/>
      <c r="H31" s="36"/>
      <c r="I31" s="5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ht="15.75" customHeight="1">
      <c r="A32" s="54">
        <v>6.0</v>
      </c>
      <c r="B32" s="3" t="s">
        <v>63</v>
      </c>
      <c r="C32" s="63"/>
      <c r="D32" s="63"/>
      <c r="E32" s="63"/>
      <c r="F32" s="63"/>
      <c r="G32" s="63"/>
      <c r="H32" s="36"/>
      <c r="I32" s="5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ht="15.75" customHeight="1">
      <c r="A33" s="54">
        <v>7.0</v>
      </c>
      <c r="B33" s="3" t="s">
        <v>64</v>
      </c>
      <c r="C33" s="63"/>
      <c r="D33" s="63"/>
      <c r="E33" s="63"/>
      <c r="F33" s="63"/>
      <c r="G33" s="63"/>
      <c r="H33" s="36"/>
      <c r="I33" s="5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ht="15.75" customHeight="1">
      <c r="A34" s="54">
        <v>8.0</v>
      </c>
      <c r="B34" s="3" t="s">
        <v>65</v>
      </c>
      <c r="C34" s="63"/>
      <c r="D34" s="63"/>
      <c r="E34" s="63"/>
      <c r="F34" s="63"/>
      <c r="G34" s="63"/>
      <c r="H34" s="36"/>
      <c r="I34" s="5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ht="15.75" customHeight="1">
      <c r="A35" s="54">
        <v>9.0</v>
      </c>
      <c r="B35" s="3" t="s">
        <v>66</v>
      </c>
      <c r="C35" s="63"/>
      <c r="D35" s="63"/>
      <c r="E35" s="63"/>
      <c r="F35" s="63"/>
      <c r="G35" s="63"/>
      <c r="H35" s="36"/>
      <c r="I35" s="5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ht="15.75" customHeight="1">
      <c r="A36" s="54">
        <v>10.0</v>
      </c>
      <c r="B36" s="3" t="s">
        <v>67</v>
      </c>
      <c r="C36" s="63"/>
      <c r="D36" s="63"/>
      <c r="E36" s="63"/>
      <c r="F36" s="63"/>
      <c r="G36" s="63"/>
      <c r="H36" s="36"/>
      <c r="I36" s="5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ht="15.75" customHeight="1">
      <c r="A37" s="54">
        <v>11.0</v>
      </c>
      <c r="B37" s="3" t="s">
        <v>68</v>
      </c>
      <c r="C37" s="63"/>
      <c r="D37" s="63"/>
      <c r="E37" s="63"/>
      <c r="F37" s="63"/>
      <c r="G37" s="63"/>
      <c r="H37" s="36"/>
      <c r="I37" s="5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ht="15.75" customHeight="1">
      <c r="A38" s="54">
        <v>12.0</v>
      </c>
      <c r="B38" s="3" t="s">
        <v>69</v>
      </c>
      <c r="C38" s="63"/>
      <c r="D38" s="63"/>
      <c r="E38" s="63"/>
      <c r="F38" s="63"/>
      <c r="G38" s="63"/>
      <c r="H38" s="36"/>
      <c r="I38" s="5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ht="15.75" customHeight="1">
      <c r="A39" s="54">
        <v>13.0</v>
      </c>
      <c r="B39" s="3" t="s">
        <v>70</v>
      </c>
      <c r="C39" s="63"/>
      <c r="D39" s="63"/>
      <c r="E39" s="63"/>
      <c r="F39" s="63"/>
      <c r="G39" s="63"/>
      <c r="H39" s="36"/>
      <c r="I39" s="5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ht="15.75" customHeight="1">
      <c r="A40" s="54">
        <v>14.0</v>
      </c>
      <c r="B40" s="3" t="s">
        <v>71</v>
      </c>
      <c r="C40" s="63"/>
      <c r="D40" s="63"/>
      <c r="E40" s="63"/>
      <c r="F40" s="63"/>
      <c r="G40" s="63"/>
      <c r="H40" s="36"/>
      <c r="I40" s="5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ht="15.75" customHeight="1">
      <c r="A41" s="3"/>
      <c r="B41" s="3"/>
      <c r="C41" s="63"/>
      <c r="D41" s="63"/>
      <c r="E41" s="63"/>
      <c r="F41" s="63"/>
      <c r="G41" s="63"/>
      <c r="H41" s="36"/>
      <c r="I41" s="5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ht="15.75" customHeight="1">
      <c r="A42" s="3"/>
      <c r="B42" s="3"/>
      <c r="C42" s="36"/>
      <c r="D42" s="36"/>
      <c r="E42" s="36"/>
      <c r="F42" s="36"/>
      <c r="G42" s="36"/>
      <c r="H42" s="36"/>
      <c r="I42" s="5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ht="15.75" customHeight="1">
      <c r="A43" s="3"/>
      <c r="B43" s="3"/>
      <c r="C43" s="36"/>
      <c r="D43" s="36"/>
      <c r="E43" s="36"/>
      <c r="F43" s="36"/>
      <c r="G43" s="36"/>
      <c r="H43" s="36"/>
      <c r="I43" s="5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ht="15.75" customHeight="1">
      <c r="A44" s="3"/>
      <c r="B44" s="3"/>
      <c r="C44" s="36"/>
      <c r="D44" s="36"/>
      <c r="E44" s="36"/>
      <c r="F44" s="36"/>
      <c r="G44" s="36"/>
      <c r="H44" s="36"/>
      <c r="I44" s="5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ht="15.75" customHeight="1">
      <c r="A45" s="3"/>
      <c r="B45" s="3"/>
      <c r="C45" s="36"/>
      <c r="D45" s="36"/>
      <c r="E45" s="36"/>
      <c r="F45" s="36"/>
      <c r="G45" s="36"/>
      <c r="H45" s="36"/>
      <c r="I45" s="5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ht="15.75" customHeight="1">
      <c r="A46" s="3"/>
      <c r="B46" s="3" t="s">
        <v>74</v>
      </c>
      <c r="C46" s="36"/>
      <c r="D46" s="36"/>
      <c r="E46" s="36"/>
      <c r="F46" s="36"/>
      <c r="G46" s="36"/>
      <c r="H46" s="36"/>
      <c r="I46" s="5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ht="15.75" customHeight="1">
      <c r="A47" s="62">
        <v>1.0</v>
      </c>
      <c r="B47" s="75" t="s">
        <v>103</v>
      </c>
      <c r="C47" s="63"/>
      <c r="D47" s="63"/>
      <c r="E47" s="63"/>
      <c r="F47" s="63"/>
      <c r="G47" s="63"/>
      <c r="H47" s="36"/>
      <c r="I47" s="5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ht="15.75" customHeight="1">
      <c r="A48" s="62">
        <v>2.0</v>
      </c>
      <c r="B48" s="75" t="s">
        <v>104</v>
      </c>
      <c r="C48" s="63"/>
      <c r="D48" s="63"/>
      <c r="E48" s="63"/>
      <c r="F48" s="63"/>
      <c r="G48" s="63"/>
      <c r="H48" s="36"/>
      <c r="I48" s="5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ht="15.75" customHeight="1">
      <c r="A49" s="62">
        <v>3.0</v>
      </c>
      <c r="B49" s="75" t="s">
        <v>105</v>
      </c>
      <c r="C49" s="63"/>
      <c r="D49" s="63"/>
      <c r="E49" s="63"/>
      <c r="F49" s="63"/>
      <c r="G49" s="63"/>
      <c r="H49" s="36"/>
      <c r="I49" s="5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ht="15.75" customHeight="1">
      <c r="A50" s="62">
        <v>4.0</v>
      </c>
      <c r="B50" s="75" t="s">
        <v>106</v>
      </c>
      <c r="C50" s="63"/>
      <c r="D50" s="63"/>
      <c r="E50" s="63"/>
      <c r="F50" s="63"/>
      <c r="G50" s="63"/>
      <c r="H50" s="36"/>
      <c r="I50" s="5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ht="15.75" customHeight="1">
      <c r="A51" s="62">
        <v>5.0</v>
      </c>
      <c r="B51" s="75" t="s">
        <v>107</v>
      </c>
      <c r="C51" s="63"/>
      <c r="D51" s="63"/>
      <c r="E51" s="63"/>
      <c r="F51" s="63"/>
      <c r="G51" s="63"/>
      <c r="H51" s="36"/>
      <c r="I51" s="5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ht="15.75" customHeight="1">
      <c r="A52" s="62">
        <v>6.0</v>
      </c>
      <c r="B52" s="75" t="s">
        <v>108</v>
      </c>
      <c r="C52" s="63"/>
      <c r="D52" s="63"/>
      <c r="E52" s="63"/>
      <c r="F52" s="63"/>
      <c r="G52" s="63"/>
      <c r="H52" s="36"/>
      <c r="I52" s="5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ht="15.75" customHeight="1">
      <c r="A53" s="62">
        <v>7.0</v>
      </c>
      <c r="B53" s="75" t="s">
        <v>109</v>
      </c>
      <c r="C53" s="63"/>
      <c r="D53" s="63"/>
      <c r="E53" s="63"/>
      <c r="F53" s="63"/>
      <c r="G53" s="63"/>
      <c r="H53" s="36"/>
      <c r="I53" s="5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ht="15.75" customHeight="1">
      <c r="A54" s="62">
        <v>8.0</v>
      </c>
      <c r="B54" s="75" t="s">
        <v>110</v>
      </c>
      <c r="C54" s="63"/>
      <c r="D54" s="63"/>
      <c r="E54" s="63"/>
      <c r="F54" s="63"/>
      <c r="G54" s="63"/>
      <c r="H54" s="36"/>
      <c r="I54" s="5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ht="15.75" customHeight="1">
      <c r="A55" s="62">
        <v>9.0</v>
      </c>
      <c r="B55" s="75" t="s">
        <v>111</v>
      </c>
      <c r="C55" s="63"/>
      <c r="D55" s="63"/>
      <c r="E55" s="63"/>
      <c r="F55" s="63"/>
      <c r="G55" s="63"/>
      <c r="H55" s="36"/>
      <c r="I55" s="5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ht="15.75" customHeight="1">
      <c r="A56" s="62">
        <v>10.0</v>
      </c>
      <c r="B56" s="75" t="s">
        <v>112</v>
      </c>
      <c r="C56" s="63"/>
      <c r="D56" s="63"/>
      <c r="E56" s="63"/>
      <c r="F56" s="63"/>
      <c r="G56" s="63"/>
      <c r="H56" s="36"/>
      <c r="I56" s="5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ht="15.75" customHeight="1">
      <c r="A57" s="62">
        <v>11.0</v>
      </c>
      <c r="B57" s="75" t="s">
        <v>113</v>
      </c>
      <c r="C57" s="63"/>
      <c r="D57" s="63"/>
      <c r="E57" s="63"/>
      <c r="F57" s="63"/>
      <c r="G57" s="63"/>
      <c r="H57" s="36"/>
      <c r="I57" s="5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ht="15.75" customHeight="1">
      <c r="A58" s="62">
        <v>12.0</v>
      </c>
      <c r="B58" s="75" t="s">
        <v>114</v>
      </c>
      <c r="C58" s="63"/>
      <c r="D58" s="63"/>
      <c r="E58" s="63"/>
      <c r="F58" s="63"/>
      <c r="G58" s="63"/>
      <c r="H58" s="36"/>
      <c r="I58" s="5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ht="15.75" customHeight="1">
      <c r="A59" s="64">
        <v>13.0</v>
      </c>
      <c r="B59" s="75" t="s">
        <v>122</v>
      </c>
      <c r="C59" s="55"/>
      <c r="D59" s="55"/>
      <c r="E59" s="55"/>
      <c r="F59" s="55"/>
      <c r="G59" s="55"/>
      <c r="H59" s="36"/>
      <c r="I59" s="5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ht="15.75" customHeight="1">
      <c r="A60" s="50"/>
      <c r="B60" s="75"/>
      <c r="C60" s="63"/>
      <c r="D60" s="63"/>
      <c r="E60" s="63"/>
      <c r="F60" s="63"/>
      <c r="G60" s="63"/>
      <c r="H60" s="36"/>
      <c r="I60" s="5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ht="15.75" customHeight="1">
      <c r="A61" s="3"/>
      <c r="B61" s="3"/>
      <c r="C61" s="36"/>
      <c r="D61" s="36"/>
      <c r="E61" s="36"/>
      <c r="F61" s="36"/>
      <c r="G61" s="36"/>
      <c r="H61" s="36"/>
      <c r="I61" s="5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ht="15.75" customHeight="1">
      <c r="A62" s="3"/>
      <c r="B62" s="3"/>
      <c r="C62" s="36"/>
      <c r="D62" s="36"/>
      <c r="E62" s="36"/>
      <c r="F62" s="36"/>
      <c r="G62" s="36"/>
      <c r="H62" s="36"/>
      <c r="I62" s="5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ht="15.75" customHeight="1">
      <c r="A63" s="3"/>
      <c r="B63" s="3"/>
      <c r="C63" s="36"/>
      <c r="D63" s="36"/>
      <c r="E63" s="36"/>
      <c r="F63" s="36"/>
      <c r="G63" s="36"/>
      <c r="H63" s="36"/>
      <c r="I63" s="36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ht="15.75" customHeight="1">
      <c r="A64" s="3"/>
      <c r="B64" s="3" t="s">
        <v>87</v>
      </c>
      <c r="C64" s="36"/>
      <c r="D64" s="36"/>
      <c r="E64" s="36"/>
      <c r="F64" s="36"/>
      <c r="G64" s="36"/>
      <c r="H64" s="36"/>
      <c r="I64" s="5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ht="15.75" customHeight="1">
      <c r="A66" s="3"/>
      <c r="B66" s="3"/>
      <c r="C66" s="36"/>
      <c r="D66" s="36"/>
      <c r="E66" s="36"/>
      <c r="F66" s="36"/>
      <c r="G66" s="36"/>
      <c r="H66" s="3"/>
      <c r="I66" s="56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ht="15.75" customHeight="1">
      <c r="A67" s="3"/>
      <c r="B67" s="3"/>
      <c r="C67" s="36"/>
      <c r="D67" s="36"/>
      <c r="E67" s="36"/>
      <c r="F67" s="36"/>
      <c r="G67" s="36"/>
      <c r="H67" s="3"/>
      <c r="I67" s="56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5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ht="15.75" customHeight="1">
      <c r="A69" s="3"/>
      <c r="B69" s="3"/>
      <c r="C69" s="36"/>
      <c r="D69" s="36"/>
      <c r="E69" s="36"/>
      <c r="F69" s="36"/>
      <c r="G69" s="36"/>
      <c r="H69" s="36"/>
      <c r="I69" s="5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ht="15.75" customHeight="1">
      <c r="A70" s="3"/>
      <c r="B70" s="3"/>
      <c r="C70" s="36"/>
      <c r="D70" s="36"/>
      <c r="E70" s="36"/>
      <c r="F70" s="36"/>
      <c r="G70" s="36"/>
      <c r="H70" s="36"/>
      <c r="I70" s="5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ht="15.75" customHeight="1">
      <c r="A71" s="3"/>
      <c r="B71" s="3"/>
      <c r="C71" s="36"/>
      <c r="D71" s="36"/>
      <c r="E71" s="36"/>
      <c r="F71" s="36"/>
      <c r="G71" s="36"/>
      <c r="H71" s="36"/>
      <c r="I71" s="5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ht="15.75" customHeight="1">
      <c r="A72" s="3"/>
      <c r="B72" s="3"/>
      <c r="C72" s="36"/>
      <c r="D72" s="36"/>
      <c r="E72" s="36"/>
      <c r="F72" s="36"/>
      <c r="G72" s="36"/>
      <c r="H72" s="36"/>
      <c r="I72" s="5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ht="15.75" customHeight="1">
      <c r="A73" s="3"/>
      <c r="B73" s="3"/>
      <c r="C73" s="36"/>
      <c r="D73" s="36"/>
      <c r="E73" s="36"/>
      <c r="F73" s="36"/>
      <c r="G73" s="36"/>
      <c r="H73" s="36"/>
      <c r="I73" s="5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ht="15.75" customHeight="1">
      <c r="A74" s="3"/>
      <c r="B74" s="3"/>
      <c r="C74" s="36"/>
      <c r="D74" s="36"/>
      <c r="E74" s="36"/>
      <c r="F74" s="36"/>
      <c r="G74" s="36"/>
      <c r="H74" s="36"/>
      <c r="I74" s="5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ht="15.75" customHeight="1">
      <c r="A75" s="3"/>
      <c r="B75" s="3"/>
      <c r="C75" s="36"/>
      <c r="D75" s="36"/>
      <c r="E75" s="36"/>
      <c r="F75" s="36"/>
      <c r="G75" s="36"/>
      <c r="H75" s="36"/>
      <c r="I75" s="5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ht="15.75" customHeight="1">
      <c r="A76" s="54">
        <v>1.0</v>
      </c>
      <c r="B76" s="3" t="s">
        <v>90</v>
      </c>
      <c r="C76" s="35">
        <f t="shared" ref="C76:G76" si="2">SUM(C3:C24)</f>
        <v>525000</v>
      </c>
      <c r="D76" s="35">
        <f t="shared" si="2"/>
        <v>75000</v>
      </c>
      <c r="E76" s="35">
        <f t="shared" si="2"/>
        <v>35000</v>
      </c>
      <c r="F76" s="35">
        <f t="shared" si="2"/>
        <v>35000</v>
      </c>
      <c r="G76" s="35">
        <f t="shared" si="2"/>
        <v>140000</v>
      </c>
      <c r="H76" s="35">
        <f t="shared" ref="H76:H78" si="4">SUM(C76:G76)</f>
        <v>810000</v>
      </c>
      <c r="I76" s="56">
        <f>SUM(C76:F76)</f>
        <v>670000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ht="15.75" customHeight="1">
      <c r="A77" s="54">
        <v>2.0</v>
      </c>
      <c r="B77" s="3" t="s">
        <v>91</v>
      </c>
      <c r="C77" s="70">
        <f t="shared" ref="C77:G77" si="3">SuM(C27:C44)</f>
        <v>0</v>
      </c>
      <c r="D77" s="70">
        <f t="shared" si="3"/>
        <v>0</v>
      </c>
      <c r="E77" s="70">
        <f t="shared" si="3"/>
        <v>0</v>
      </c>
      <c r="F77" s="70">
        <f t="shared" si="3"/>
        <v>0</v>
      </c>
      <c r="G77" s="70">
        <f t="shared" si="3"/>
        <v>0</v>
      </c>
      <c r="H77" s="35">
        <f t="shared" si="4"/>
        <v>0</v>
      </c>
      <c r="I77" s="5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ht="15.75" customHeight="1">
      <c r="A78" s="54">
        <v>3.0</v>
      </c>
      <c r="B78" s="3" t="s">
        <v>92</v>
      </c>
      <c r="C78" s="35">
        <f t="shared" ref="C78:G78" si="5">SUM(C47:C62)</f>
        <v>0</v>
      </c>
      <c r="D78" s="35">
        <f t="shared" si="5"/>
        <v>0</v>
      </c>
      <c r="E78" s="35">
        <f t="shared" si="5"/>
        <v>0</v>
      </c>
      <c r="F78" s="35">
        <f t="shared" si="5"/>
        <v>0</v>
      </c>
      <c r="G78" s="35">
        <f t="shared" si="5"/>
        <v>0</v>
      </c>
      <c r="H78" s="35">
        <f t="shared" si="4"/>
        <v>0</v>
      </c>
      <c r="I78" s="56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ht="15.75" customHeight="1">
      <c r="A79" s="54">
        <v>4.0</v>
      </c>
      <c r="B79" s="3" t="s">
        <v>93</v>
      </c>
      <c r="C79" s="70">
        <f>Mei!C33</f>
        <v>5789500</v>
      </c>
      <c r="D79" s="70">
        <f>Mei!C34</f>
        <v>1532000</v>
      </c>
      <c r="E79" s="70">
        <f>Mei!C35</f>
        <v>706000</v>
      </c>
      <c r="F79" s="70">
        <f>Mei!C36</f>
        <v>995000</v>
      </c>
      <c r="G79" s="70">
        <f>Mei!C37</f>
        <v>3888500</v>
      </c>
      <c r="H79" s="74">
        <f>Mei!C38</f>
        <v>12911000</v>
      </c>
      <c r="I79" s="5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ht="15.75" customHeight="1">
      <c r="A80" s="3"/>
      <c r="B80" s="72" t="s">
        <v>94</v>
      </c>
      <c r="C80" s="35">
        <f t="shared" ref="C80:G80" si="6">SUM(C66:C79)</f>
        <v>6314500</v>
      </c>
      <c r="D80" s="35">
        <f t="shared" si="6"/>
        <v>1607000</v>
      </c>
      <c r="E80" s="35">
        <f t="shared" si="6"/>
        <v>741000</v>
      </c>
      <c r="F80" s="35">
        <f t="shared" si="6"/>
        <v>1030000</v>
      </c>
      <c r="G80" s="35">
        <f t="shared" si="6"/>
        <v>4028500</v>
      </c>
      <c r="H80" s="35">
        <f>SUM(C80:G80)</f>
        <v>13721000</v>
      </c>
      <c r="I80" s="5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51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51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ht="15.75" customHeight="1">
      <c r="A83" s="3"/>
      <c r="B83" s="70"/>
      <c r="C83" s="70"/>
      <c r="D83" s="70"/>
      <c r="E83" s="70"/>
      <c r="F83" s="70"/>
      <c r="G83" s="70"/>
      <c r="H83" s="70"/>
      <c r="I83" s="51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ht="15.75" customHeight="1">
      <c r="A84" s="3"/>
      <c r="B84" s="3"/>
      <c r="C84" s="70"/>
      <c r="D84" s="3"/>
      <c r="E84" s="3"/>
      <c r="F84" s="3"/>
      <c r="G84" s="3"/>
      <c r="H84" s="3"/>
      <c r="I84" s="51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51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ht="15.75" customHeight="1">
      <c r="A86" s="3"/>
      <c r="B86" s="3"/>
      <c r="C86" s="23"/>
      <c r="D86" s="3"/>
      <c r="E86" s="3"/>
      <c r="F86" s="3"/>
      <c r="G86" s="3"/>
      <c r="H86" s="3"/>
      <c r="I86" s="51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51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51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51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51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51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51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51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51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51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51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51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51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51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51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51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51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51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51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51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51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51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51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51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51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51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51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51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51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51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51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51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51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51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51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51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51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51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51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51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51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51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51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51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51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51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51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51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51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51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51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51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51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51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51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51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51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51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51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51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51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51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51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51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51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51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51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51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51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51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51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51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51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51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51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51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51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51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51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51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51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51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51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51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51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51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51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51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51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51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51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51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51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51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51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51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51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51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51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51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51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51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51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51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51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51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51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51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51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51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51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51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51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51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51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51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51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51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51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51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51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51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51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51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51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51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51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51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51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51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51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51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51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51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51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51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51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51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51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51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51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51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51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51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51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51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51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51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51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51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51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51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51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51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51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51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51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51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51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51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51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51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51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51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51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51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51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51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51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51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51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51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51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51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51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51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51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51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51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51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51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51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51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51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51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51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51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51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51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51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51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51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51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51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51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88"/>
    <col customWidth="1" min="2" max="2" width="23.13"/>
    <col customWidth="1" min="3" max="6" width="12.63"/>
  </cols>
  <sheetData>
    <row r="1" ht="15.75" customHeight="1">
      <c r="A1" s="3"/>
      <c r="B1" s="3" t="s">
        <v>30</v>
      </c>
      <c r="C1" s="50" t="s">
        <v>31</v>
      </c>
      <c r="D1" s="3" t="s">
        <v>32</v>
      </c>
      <c r="E1" s="3" t="s">
        <v>33</v>
      </c>
      <c r="F1" s="3" t="s">
        <v>34</v>
      </c>
      <c r="G1" s="50" t="s">
        <v>95</v>
      </c>
      <c r="H1" s="3"/>
      <c r="I1" s="51" t="s">
        <v>36</v>
      </c>
      <c r="J1" s="3"/>
      <c r="K1" s="3"/>
      <c r="L1" s="3"/>
      <c r="M1" s="3"/>
      <c r="N1" s="3"/>
      <c r="O1" s="5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15.75" customHeight="1">
      <c r="A2" s="3"/>
      <c r="B2" s="3" t="s">
        <v>37</v>
      </c>
      <c r="C2" s="36"/>
      <c r="D2" s="36"/>
      <c r="E2" s="36"/>
      <c r="F2" s="36"/>
      <c r="G2" s="36"/>
      <c r="H2" s="36"/>
      <c r="I2" s="5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15.75" customHeight="1">
      <c r="A3" s="54">
        <v>1.0</v>
      </c>
      <c r="B3" s="3" t="s">
        <v>38</v>
      </c>
      <c r="C3" s="55"/>
      <c r="D3" s="55"/>
      <c r="E3" s="55"/>
      <c r="F3" s="55"/>
      <c r="G3" s="55"/>
      <c r="H3" s="36"/>
      <c r="I3" s="56">
        <f t="shared" ref="I3:I21" si="1">SUM(C3:F3)</f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15.75" customHeight="1">
      <c r="A4" s="54">
        <v>2.0</v>
      </c>
      <c r="B4" s="3" t="s">
        <v>39</v>
      </c>
      <c r="C4" s="55"/>
      <c r="D4" s="55"/>
      <c r="E4" s="55"/>
      <c r="F4" s="55"/>
      <c r="G4" s="55"/>
      <c r="H4" s="36"/>
      <c r="I4" s="56">
        <f t="shared" si="1"/>
        <v>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ht="15.75" customHeight="1">
      <c r="A5" s="54">
        <v>3.0</v>
      </c>
      <c r="B5" s="3" t="s">
        <v>40</v>
      </c>
      <c r="C5" s="55"/>
      <c r="D5" s="55"/>
      <c r="E5" s="55"/>
      <c r="F5" s="55"/>
      <c r="G5" s="55"/>
      <c r="H5" s="36"/>
      <c r="I5" s="56">
        <f t="shared" si="1"/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15.75" customHeight="1">
      <c r="A6" s="54">
        <v>4.0</v>
      </c>
      <c r="B6" s="3" t="s">
        <v>41</v>
      </c>
      <c r="C6" s="55"/>
      <c r="D6" s="55"/>
      <c r="E6" s="55"/>
      <c r="F6" s="55"/>
      <c r="G6" s="55"/>
      <c r="H6" s="36"/>
      <c r="I6" s="56">
        <f t="shared" si="1"/>
        <v>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ht="15.75" customHeight="1">
      <c r="A7" s="54">
        <v>5.0</v>
      </c>
      <c r="B7" s="3" t="s">
        <v>42</v>
      </c>
      <c r="C7" s="55"/>
      <c r="D7" s="55"/>
      <c r="E7" s="55"/>
      <c r="F7" s="55"/>
      <c r="G7" s="55"/>
      <c r="H7" s="36"/>
      <c r="I7" s="56">
        <f t="shared" si="1"/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ht="15.75" customHeight="1">
      <c r="A8" s="54">
        <v>6.0</v>
      </c>
      <c r="B8" s="3" t="s">
        <v>43</v>
      </c>
      <c r="C8" s="59"/>
      <c r="D8" s="59"/>
      <c r="E8" s="59"/>
      <c r="F8" s="59"/>
      <c r="G8" s="59"/>
      <c r="H8" s="36"/>
      <c r="I8" s="56">
        <f t="shared" si="1"/>
        <v>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15.75" customHeight="1">
      <c r="A9" s="54">
        <v>7.0</v>
      </c>
      <c r="B9" s="3" t="s">
        <v>44</v>
      </c>
      <c r="C9" s="55"/>
      <c r="D9" s="55"/>
      <c r="E9" s="55"/>
      <c r="F9" s="55"/>
      <c r="G9" s="55"/>
      <c r="H9" s="36"/>
      <c r="I9" s="56">
        <f t="shared" si="1"/>
        <v>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57"/>
      <c r="Z9" s="3"/>
      <c r="AA9" s="3"/>
      <c r="AB9" s="3"/>
      <c r="AC9" s="3"/>
    </row>
    <row r="10" ht="15.75" customHeight="1">
      <c r="A10" s="54">
        <v>8.0</v>
      </c>
      <c r="B10" s="3" t="s">
        <v>45</v>
      </c>
      <c r="C10" s="55"/>
      <c r="D10" s="55"/>
      <c r="E10" s="55"/>
      <c r="F10" s="55"/>
      <c r="G10" s="55"/>
      <c r="H10" s="36"/>
      <c r="I10" s="56">
        <f t="shared" si="1"/>
        <v>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15.75" customHeight="1">
      <c r="A11" s="54">
        <v>9.0</v>
      </c>
      <c r="B11" s="3" t="s">
        <v>46</v>
      </c>
      <c r="C11" s="55"/>
      <c r="D11" s="55"/>
      <c r="E11" s="55"/>
      <c r="F11" s="55"/>
      <c r="G11" s="55"/>
      <c r="H11" s="36"/>
      <c r="I11" s="56">
        <f t="shared" si="1"/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15.75" customHeight="1">
      <c r="A12" s="54">
        <v>10.0</v>
      </c>
      <c r="B12" s="3" t="s">
        <v>47</v>
      </c>
      <c r="C12" s="55"/>
      <c r="D12" s="55"/>
      <c r="E12" s="55"/>
      <c r="F12" s="55"/>
      <c r="G12" s="55"/>
      <c r="H12" s="36"/>
      <c r="I12" s="56">
        <f t="shared" si="1"/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ht="15.75" customHeight="1">
      <c r="A13" s="54">
        <v>11.0</v>
      </c>
      <c r="B13" s="3" t="s">
        <v>48</v>
      </c>
      <c r="C13" s="55"/>
      <c r="D13" s="55"/>
      <c r="E13" s="55"/>
      <c r="F13" s="55"/>
      <c r="G13" s="55"/>
      <c r="H13" s="36"/>
      <c r="I13" s="56">
        <f t="shared" si="1"/>
        <v>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15.75" customHeight="1">
      <c r="A14" s="54">
        <v>12.0</v>
      </c>
      <c r="B14" s="3" t="s">
        <v>49</v>
      </c>
      <c r="C14" s="58"/>
      <c r="D14" s="59"/>
      <c r="E14" s="59"/>
      <c r="F14" s="59"/>
      <c r="G14" s="59"/>
      <c r="H14" s="36"/>
      <c r="I14" s="56">
        <f t="shared" si="1"/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15.75" customHeight="1">
      <c r="A15" s="54">
        <v>13.0</v>
      </c>
      <c r="B15" s="3" t="s">
        <v>50</v>
      </c>
      <c r="C15" s="55"/>
      <c r="D15" s="55"/>
      <c r="E15" s="55"/>
      <c r="F15" s="55"/>
      <c r="G15" s="55"/>
      <c r="H15" s="36"/>
      <c r="I15" s="56">
        <f t="shared" si="1"/>
        <v>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15.75" customHeight="1">
      <c r="A16" s="54">
        <v>14.0</v>
      </c>
      <c r="B16" s="3" t="s">
        <v>51</v>
      </c>
      <c r="C16" s="55"/>
      <c r="D16" s="55"/>
      <c r="E16" s="55"/>
      <c r="F16" s="55"/>
      <c r="G16" s="55"/>
      <c r="H16" s="36"/>
      <c r="I16" s="56">
        <f t="shared" si="1"/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ht="15.75" customHeight="1">
      <c r="A17" s="54">
        <v>15.0</v>
      </c>
      <c r="B17" s="3" t="s">
        <v>96</v>
      </c>
      <c r="C17" s="58"/>
      <c r="D17" s="59"/>
      <c r="E17" s="59"/>
      <c r="F17" s="59"/>
      <c r="G17" s="59"/>
      <c r="H17" s="36"/>
      <c r="I17" s="56">
        <f t="shared" si="1"/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ht="15.75" customHeight="1">
      <c r="A18" s="54">
        <v>16.0</v>
      </c>
      <c r="B18" s="3" t="s">
        <v>53</v>
      </c>
      <c r="C18" s="58"/>
      <c r="D18" s="59"/>
      <c r="E18" s="59"/>
      <c r="F18" s="59"/>
      <c r="G18" s="59"/>
      <c r="H18" s="36"/>
      <c r="I18" s="56">
        <f t="shared" si="1"/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ht="15.75" customHeight="1">
      <c r="A19" s="54">
        <v>17.0</v>
      </c>
      <c r="B19" s="3" t="s">
        <v>54</v>
      </c>
      <c r="C19" s="55"/>
      <c r="D19" s="55"/>
      <c r="E19" s="55"/>
      <c r="F19" s="55"/>
      <c r="G19" s="55"/>
      <c r="H19" s="36"/>
      <c r="I19" s="56">
        <f t="shared" si="1"/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ht="15.75" customHeight="1">
      <c r="A20" s="54">
        <v>18.0</v>
      </c>
      <c r="B20" s="50" t="s">
        <v>97</v>
      </c>
      <c r="C20" s="58"/>
      <c r="D20" s="59"/>
      <c r="E20" s="59"/>
      <c r="F20" s="59"/>
      <c r="G20" s="59"/>
      <c r="H20" s="36"/>
      <c r="I20" s="56">
        <f t="shared" si="1"/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ht="15.75" customHeight="1">
      <c r="A21" s="54">
        <v>19.0</v>
      </c>
      <c r="B21" s="3" t="s">
        <v>56</v>
      </c>
      <c r="C21" s="59"/>
      <c r="D21" s="59"/>
      <c r="E21" s="59"/>
      <c r="F21" s="59"/>
      <c r="G21" s="59"/>
      <c r="H21" s="36"/>
      <c r="I21" s="56">
        <f t="shared" si="1"/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ht="15.75" customHeight="1">
      <c r="A22" s="3"/>
      <c r="B22" s="3"/>
      <c r="C22" s="36"/>
      <c r="D22" s="36"/>
      <c r="E22" s="36"/>
      <c r="F22" s="36"/>
      <c r="G22" s="36"/>
      <c r="H22" s="36"/>
      <c r="I22" s="5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ht="15.75" customHeight="1">
      <c r="A23" s="3"/>
      <c r="B23" s="3"/>
      <c r="C23" s="36"/>
      <c r="D23" s="36"/>
      <c r="E23" s="36"/>
      <c r="F23" s="36"/>
      <c r="G23" s="36"/>
      <c r="H23" s="36"/>
      <c r="I23" s="5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ht="15.75" customHeight="1">
      <c r="A24" s="3"/>
      <c r="B24" s="3"/>
      <c r="C24" s="36"/>
      <c r="D24" s="36"/>
      <c r="E24" s="36"/>
      <c r="F24" s="36"/>
      <c r="G24" s="36"/>
      <c r="H24" s="36"/>
      <c r="I24" s="5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ht="15.75" customHeight="1">
      <c r="A25" s="3"/>
      <c r="B25" s="3"/>
      <c r="C25" s="36"/>
      <c r="D25" s="36"/>
      <c r="E25" s="36"/>
      <c r="F25" s="36"/>
      <c r="G25" s="36"/>
      <c r="H25" s="36"/>
      <c r="I25" s="5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ht="15.75" customHeight="1">
      <c r="A26" s="3"/>
      <c r="B26" s="3" t="s">
        <v>57</v>
      </c>
      <c r="C26" s="36"/>
      <c r="D26" s="36"/>
      <c r="E26" s="36"/>
      <c r="F26" s="36"/>
      <c r="G26" s="36"/>
      <c r="H26" s="36"/>
      <c r="I26" s="5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ht="15.75" customHeight="1">
      <c r="A27" s="54">
        <v>1.0</v>
      </c>
      <c r="B27" s="3" t="s">
        <v>58</v>
      </c>
      <c r="C27" s="63"/>
      <c r="D27" s="63"/>
      <c r="E27" s="63"/>
      <c r="F27" s="63"/>
      <c r="G27" s="63"/>
      <c r="H27" s="36"/>
      <c r="I27" s="5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ht="15.75" customHeight="1">
      <c r="A28" s="54">
        <v>2.0</v>
      </c>
      <c r="B28" s="3" t="s">
        <v>59</v>
      </c>
      <c r="C28" s="63"/>
      <c r="D28" s="63"/>
      <c r="E28" s="63"/>
      <c r="F28" s="63"/>
      <c r="G28" s="63"/>
      <c r="H28" s="36"/>
      <c r="I28" s="5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ht="15.75" customHeight="1">
      <c r="A29" s="54">
        <v>3.0</v>
      </c>
      <c r="B29" s="3" t="s">
        <v>60</v>
      </c>
      <c r="C29" s="63"/>
      <c r="D29" s="63"/>
      <c r="E29" s="63"/>
      <c r="F29" s="63"/>
      <c r="G29" s="63"/>
      <c r="H29" s="36"/>
      <c r="I29" s="5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ht="15.75" customHeight="1">
      <c r="A30" s="54">
        <v>4.0</v>
      </c>
      <c r="B30" s="3" t="s">
        <v>61</v>
      </c>
      <c r="C30" s="63"/>
      <c r="D30" s="63"/>
      <c r="E30" s="63"/>
      <c r="F30" s="63"/>
      <c r="G30" s="63"/>
      <c r="H30" s="36"/>
      <c r="I30" s="5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ht="15.75" customHeight="1">
      <c r="A31" s="54">
        <v>5.0</v>
      </c>
      <c r="B31" s="3" t="s">
        <v>62</v>
      </c>
      <c r="C31" s="63"/>
      <c r="D31" s="63"/>
      <c r="E31" s="63"/>
      <c r="F31" s="63"/>
      <c r="G31" s="63"/>
      <c r="H31" s="36"/>
      <c r="I31" s="5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ht="15.75" customHeight="1">
      <c r="A32" s="54">
        <v>6.0</v>
      </c>
      <c r="B32" s="3" t="s">
        <v>63</v>
      </c>
      <c r="C32" s="63"/>
      <c r="D32" s="63"/>
      <c r="E32" s="63"/>
      <c r="F32" s="63"/>
      <c r="G32" s="63"/>
      <c r="H32" s="36"/>
      <c r="I32" s="5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ht="15.75" customHeight="1">
      <c r="A33" s="54">
        <v>7.0</v>
      </c>
      <c r="B33" s="3" t="s">
        <v>64</v>
      </c>
      <c r="C33" s="63"/>
      <c r="D33" s="63"/>
      <c r="E33" s="63"/>
      <c r="F33" s="63"/>
      <c r="G33" s="63"/>
      <c r="H33" s="36"/>
      <c r="I33" s="5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ht="15.75" customHeight="1">
      <c r="A34" s="54">
        <v>8.0</v>
      </c>
      <c r="B34" s="3" t="s">
        <v>65</v>
      </c>
      <c r="C34" s="63"/>
      <c r="D34" s="63"/>
      <c r="E34" s="63"/>
      <c r="F34" s="63"/>
      <c r="G34" s="63"/>
      <c r="H34" s="36"/>
      <c r="I34" s="5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ht="15.75" customHeight="1">
      <c r="A35" s="54">
        <v>9.0</v>
      </c>
      <c r="B35" s="3" t="s">
        <v>66</v>
      </c>
      <c r="C35" s="63"/>
      <c r="D35" s="63"/>
      <c r="E35" s="63"/>
      <c r="F35" s="63"/>
      <c r="G35" s="63"/>
      <c r="H35" s="36"/>
      <c r="I35" s="5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ht="15.75" customHeight="1">
      <c r="A36" s="54">
        <v>10.0</v>
      </c>
      <c r="B36" s="3" t="s">
        <v>67</v>
      </c>
      <c r="C36" s="63"/>
      <c r="D36" s="63"/>
      <c r="E36" s="63"/>
      <c r="F36" s="63"/>
      <c r="G36" s="63"/>
      <c r="H36" s="36"/>
      <c r="I36" s="5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ht="15.75" customHeight="1">
      <c r="A37" s="54">
        <v>11.0</v>
      </c>
      <c r="B37" s="3" t="s">
        <v>68</v>
      </c>
      <c r="C37" s="63"/>
      <c r="D37" s="63"/>
      <c r="E37" s="63"/>
      <c r="F37" s="63"/>
      <c r="G37" s="63"/>
      <c r="H37" s="36"/>
      <c r="I37" s="5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ht="15.75" customHeight="1">
      <c r="A38" s="54">
        <v>12.0</v>
      </c>
      <c r="B38" s="3" t="s">
        <v>69</v>
      </c>
      <c r="C38" s="63"/>
      <c r="D38" s="63"/>
      <c r="E38" s="63"/>
      <c r="F38" s="63"/>
      <c r="G38" s="63"/>
      <c r="H38" s="36"/>
      <c r="I38" s="5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ht="15.75" customHeight="1">
      <c r="A39" s="54">
        <v>13.0</v>
      </c>
      <c r="B39" s="3" t="s">
        <v>70</v>
      </c>
      <c r="C39" s="63"/>
      <c r="D39" s="63"/>
      <c r="E39" s="63"/>
      <c r="F39" s="63"/>
      <c r="G39" s="63"/>
      <c r="H39" s="36"/>
      <c r="I39" s="5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ht="15.75" customHeight="1">
      <c r="A40" s="54">
        <v>14.0</v>
      </c>
      <c r="B40" s="3" t="s">
        <v>71</v>
      </c>
      <c r="C40" s="63"/>
      <c r="D40" s="63"/>
      <c r="E40" s="63"/>
      <c r="F40" s="63"/>
      <c r="G40" s="63"/>
      <c r="H40" s="36"/>
      <c r="I40" s="5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ht="15.75" customHeight="1">
      <c r="A41" s="3"/>
      <c r="B41" s="3"/>
      <c r="C41" s="63"/>
      <c r="D41" s="63"/>
      <c r="E41" s="63"/>
      <c r="F41" s="63"/>
      <c r="G41" s="63"/>
      <c r="H41" s="36"/>
      <c r="I41" s="5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ht="15.75" customHeight="1">
      <c r="A42" s="3"/>
      <c r="B42" s="3"/>
      <c r="C42" s="36"/>
      <c r="D42" s="36"/>
      <c r="E42" s="36"/>
      <c r="F42" s="36"/>
      <c r="G42" s="36"/>
      <c r="H42" s="36"/>
      <c r="I42" s="5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ht="15.75" customHeight="1">
      <c r="A43" s="3"/>
      <c r="B43" s="3"/>
      <c r="C43" s="36"/>
      <c r="D43" s="36"/>
      <c r="E43" s="36"/>
      <c r="F43" s="36"/>
      <c r="G43" s="36"/>
      <c r="H43" s="36"/>
      <c r="I43" s="5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ht="15.75" customHeight="1">
      <c r="A44" s="3"/>
      <c r="B44" s="3"/>
      <c r="C44" s="36"/>
      <c r="D44" s="36"/>
      <c r="E44" s="36"/>
      <c r="F44" s="36"/>
      <c r="G44" s="36"/>
      <c r="H44" s="36"/>
      <c r="I44" s="5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ht="15.75" customHeight="1">
      <c r="A45" s="3"/>
      <c r="B45" s="3"/>
      <c r="C45" s="36"/>
      <c r="D45" s="36"/>
      <c r="E45" s="36"/>
      <c r="F45" s="36"/>
      <c r="G45" s="36"/>
      <c r="H45" s="36"/>
      <c r="I45" s="5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ht="15.75" customHeight="1">
      <c r="A46" s="3"/>
      <c r="B46" s="3" t="s">
        <v>74</v>
      </c>
      <c r="C46" s="36"/>
      <c r="D46" s="36"/>
      <c r="E46" s="36"/>
      <c r="F46" s="36"/>
      <c r="G46" s="36"/>
      <c r="H46" s="36"/>
      <c r="I46" s="5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ht="15.75" customHeight="1">
      <c r="A47" s="62">
        <v>1.0</v>
      </c>
      <c r="B47" s="75" t="s">
        <v>103</v>
      </c>
      <c r="C47" s="63"/>
      <c r="D47" s="63"/>
      <c r="E47" s="63"/>
      <c r="F47" s="63"/>
      <c r="G47" s="63"/>
      <c r="H47" s="36"/>
      <c r="I47" s="5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ht="15.75" customHeight="1">
      <c r="A48" s="62">
        <v>2.0</v>
      </c>
      <c r="B48" s="75" t="s">
        <v>104</v>
      </c>
      <c r="C48" s="63"/>
      <c r="D48" s="63"/>
      <c r="E48" s="63"/>
      <c r="F48" s="63"/>
      <c r="G48" s="63"/>
      <c r="H48" s="36"/>
      <c r="I48" s="5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ht="15.75" customHeight="1">
      <c r="A49" s="62">
        <v>3.0</v>
      </c>
      <c r="B49" s="75" t="s">
        <v>105</v>
      </c>
      <c r="C49" s="63"/>
      <c r="D49" s="63"/>
      <c r="E49" s="63"/>
      <c r="F49" s="63"/>
      <c r="G49" s="63"/>
      <c r="H49" s="36"/>
      <c r="I49" s="5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ht="15.75" customHeight="1">
      <c r="A50" s="62">
        <v>4.0</v>
      </c>
      <c r="B50" s="75" t="s">
        <v>106</v>
      </c>
      <c r="C50" s="63"/>
      <c r="D50" s="63"/>
      <c r="E50" s="63"/>
      <c r="F50" s="63"/>
      <c r="G50" s="63"/>
      <c r="H50" s="36"/>
      <c r="I50" s="5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ht="15.75" customHeight="1">
      <c r="A51" s="62">
        <v>5.0</v>
      </c>
      <c r="B51" s="75" t="s">
        <v>107</v>
      </c>
      <c r="C51" s="63"/>
      <c r="D51" s="63"/>
      <c r="E51" s="63"/>
      <c r="F51" s="63"/>
      <c r="G51" s="63"/>
      <c r="H51" s="36"/>
      <c r="I51" s="5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ht="15.75" customHeight="1">
      <c r="A52" s="62">
        <v>6.0</v>
      </c>
      <c r="B52" s="75" t="s">
        <v>108</v>
      </c>
      <c r="C52" s="63"/>
      <c r="D52" s="63"/>
      <c r="E52" s="63"/>
      <c r="F52" s="63"/>
      <c r="G52" s="63"/>
      <c r="H52" s="36"/>
      <c r="I52" s="5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ht="15.75" customHeight="1">
      <c r="A53" s="62">
        <v>7.0</v>
      </c>
      <c r="B53" s="75" t="s">
        <v>109</v>
      </c>
      <c r="C53" s="63"/>
      <c r="D53" s="63"/>
      <c r="E53" s="63"/>
      <c r="F53" s="63"/>
      <c r="G53" s="63"/>
      <c r="H53" s="36"/>
      <c r="I53" s="5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ht="15.75" customHeight="1">
      <c r="A54" s="62">
        <v>8.0</v>
      </c>
      <c r="B54" s="75" t="s">
        <v>110</v>
      </c>
      <c r="C54" s="63"/>
      <c r="D54" s="63"/>
      <c r="E54" s="63"/>
      <c r="F54" s="63"/>
      <c r="G54" s="63"/>
      <c r="H54" s="36"/>
      <c r="I54" s="5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ht="15.75" customHeight="1">
      <c r="A55" s="62">
        <v>9.0</v>
      </c>
      <c r="B55" s="75" t="s">
        <v>111</v>
      </c>
      <c r="C55" s="63"/>
      <c r="D55" s="63"/>
      <c r="E55" s="63"/>
      <c r="F55" s="63"/>
      <c r="G55" s="63"/>
      <c r="H55" s="36"/>
      <c r="I55" s="5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ht="15.75" customHeight="1">
      <c r="A56" s="62">
        <v>10.0</v>
      </c>
      <c r="B56" s="75" t="s">
        <v>112</v>
      </c>
      <c r="C56" s="63"/>
      <c r="D56" s="63"/>
      <c r="E56" s="63"/>
      <c r="F56" s="63"/>
      <c r="G56" s="63"/>
      <c r="H56" s="36"/>
      <c r="I56" s="5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ht="15.75" customHeight="1">
      <c r="A57" s="62">
        <v>11.0</v>
      </c>
      <c r="B57" s="75" t="s">
        <v>113</v>
      </c>
      <c r="C57" s="63"/>
      <c r="D57" s="63"/>
      <c r="E57" s="63"/>
      <c r="F57" s="63"/>
      <c r="G57" s="63"/>
      <c r="H57" s="36"/>
      <c r="I57" s="5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ht="15.75" customHeight="1">
      <c r="A58" s="62">
        <v>12.0</v>
      </c>
      <c r="B58" s="75" t="s">
        <v>114</v>
      </c>
      <c r="C58" s="63"/>
      <c r="D58" s="63"/>
      <c r="E58" s="63"/>
      <c r="F58" s="63"/>
      <c r="G58" s="63"/>
      <c r="H58" s="36"/>
      <c r="I58" s="5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ht="15.75" customHeight="1">
      <c r="A59" s="62">
        <v>13.0</v>
      </c>
      <c r="B59" s="75" t="s">
        <v>115</v>
      </c>
      <c r="C59" s="73"/>
      <c r="D59" s="73"/>
      <c r="E59" s="73"/>
      <c r="F59" s="73"/>
      <c r="G59" s="73"/>
      <c r="H59" s="36"/>
      <c r="I59" s="5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ht="15.75" customHeight="1">
      <c r="A60" s="50">
        <v>14.0</v>
      </c>
      <c r="B60" s="75" t="s">
        <v>116</v>
      </c>
      <c r="C60" s="73"/>
      <c r="D60" s="73"/>
      <c r="E60" s="73"/>
      <c r="F60" s="73"/>
      <c r="G60" s="73"/>
      <c r="H60" s="36"/>
      <c r="I60" s="5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ht="15.75" customHeight="1">
      <c r="A61" s="3"/>
      <c r="B61" s="3"/>
      <c r="C61" s="36"/>
      <c r="D61" s="36"/>
      <c r="E61" s="36"/>
      <c r="F61" s="36"/>
      <c r="G61" s="36"/>
      <c r="H61" s="36"/>
      <c r="I61" s="5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ht="15.75" customHeight="1">
      <c r="A62" s="3"/>
      <c r="B62" s="3"/>
      <c r="C62" s="36"/>
      <c r="D62" s="36"/>
      <c r="E62" s="36"/>
      <c r="F62" s="36"/>
      <c r="G62" s="36"/>
      <c r="H62" s="36"/>
      <c r="I62" s="5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ht="15.75" customHeight="1">
      <c r="A63" s="3"/>
      <c r="B63" s="3"/>
      <c r="C63" s="36"/>
      <c r="D63" s="36"/>
      <c r="E63" s="36"/>
      <c r="F63" s="36"/>
      <c r="G63" s="36"/>
      <c r="H63" s="36"/>
      <c r="I63" s="36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ht="15.75" customHeight="1">
      <c r="A64" s="3"/>
      <c r="B64" s="3" t="s">
        <v>87</v>
      </c>
      <c r="C64" s="36"/>
      <c r="D64" s="36"/>
      <c r="E64" s="36"/>
      <c r="F64" s="36"/>
      <c r="G64" s="36"/>
      <c r="H64" s="36"/>
      <c r="I64" s="5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ht="15.75" customHeight="1">
      <c r="A66" s="54"/>
      <c r="B66" s="3"/>
      <c r="C66" s="35"/>
      <c r="D66" s="35"/>
      <c r="E66" s="35"/>
      <c r="F66" s="35"/>
      <c r="G66" s="35"/>
      <c r="H66" s="35"/>
      <c r="I66" s="56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ht="15.75" customHeight="1">
      <c r="A67" s="3"/>
      <c r="B67" s="3"/>
      <c r="C67" s="35"/>
      <c r="D67" s="35"/>
      <c r="E67" s="35"/>
      <c r="F67" s="35"/>
      <c r="G67" s="35"/>
      <c r="H67" s="35"/>
      <c r="I67" s="56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5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ht="15.75" customHeight="1">
      <c r="A69" s="3"/>
      <c r="B69" s="3"/>
      <c r="C69" s="36"/>
      <c r="D69" s="36"/>
      <c r="E69" s="36"/>
      <c r="F69" s="36"/>
      <c r="G69" s="36"/>
      <c r="H69" s="36"/>
      <c r="I69" s="5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ht="15.75" customHeight="1">
      <c r="A70" s="3"/>
      <c r="B70" s="3"/>
      <c r="C70" s="36"/>
      <c r="D70" s="36"/>
      <c r="E70" s="36"/>
      <c r="F70" s="36"/>
      <c r="G70" s="36"/>
      <c r="H70" s="36"/>
      <c r="I70" s="5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ht="15.75" customHeight="1">
      <c r="A71" s="3"/>
      <c r="B71" s="3"/>
      <c r="C71" s="36"/>
      <c r="D71" s="36"/>
      <c r="E71" s="36"/>
      <c r="F71" s="36"/>
      <c r="G71" s="36"/>
      <c r="H71" s="36"/>
      <c r="I71" s="5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ht="15.75" customHeight="1">
      <c r="A72" s="3"/>
      <c r="B72" s="3"/>
      <c r="C72" s="36"/>
      <c r="D72" s="36"/>
      <c r="E72" s="36"/>
      <c r="F72" s="36"/>
      <c r="G72" s="36"/>
      <c r="H72" s="36"/>
      <c r="I72" s="5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ht="15.75" customHeight="1">
      <c r="A73" s="3"/>
      <c r="B73" s="3"/>
      <c r="C73" s="36"/>
      <c r="D73" s="36"/>
      <c r="E73" s="36"/>
      <c r="F73" s="36"/>
      <c r="G73" s="36"/>
      <c r="H73" s="35"/>
      <c r="I73" s="5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ht="15.75" customHeight="1">
      <c r="A74" s="3"/>
      <c r="B74" s="3"/>
      <c r="C74" s="36"/>
      <c r="D74" s="36"/>
      <c r="E74" s="36"/>
      <c r="F74" s="36"/>
      <c r="G74" s="36"/>
      <c r="H74" s="35"/>
      <c r="I74" s="5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ht="15.75" customHeight="1">
      <c r="A75" s="3"/>
      <c r="B75" s="3"/>
      <c r="C75" s="36"/>
      <c r="D75" s="36"/>
      <c r="E75" s="36"/>
      <c r="F75" s="36"/>
      <c r="G75" s="36"/>
      <c r="H75" s="35"/>
      <c r="I75" s="5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ht="15.75" customHeight="1">
      <c r="A76" s="69">
        <v>1.0</v>
      </c>
      <c r="B76" s="3" t="s">
        <v>90</v>
      </c>
      <c r="C76" s="35">
        <f t="shared" ref="C76:G76" si="2">SUM(C3:C24)</f>
        <v>0</v>
      </c>
      <c r="D76" s="35">
        <f t="shared" si="2"/>
        <v>0</v>
      </c>
      <c r="E76" s="35">
        <f t="shared" si="2"/>
        <v>0</v>
      </c>
      <c r="F76" s="35">
        <f t="shared" si="2"/>
        <v>0</v>
      </c>
      <c r="G76" s="35">
        <f t="shared" si="2"/>
        <v>0</v>
      </c>
      <c r="H76" s="35">
        <f t="shared" ref="H76:H78" si="4">SUM(C76:G76)</f>
        <v>0</v>
      </c>
      <c r="I76" s="56">
        <f>SUM(C76:F76)</f>
        <v>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ht="15.75" customHeight="1">
      <c r="A77" s="69">
        <v>2.0</v>
      </c>
      <c r="B77" s="3" t="s">
        <v>91</v>
      </c>
      <c r="C77" s="70">
        <f t="shared" ref="C77:G77" si="3">SuM(C27:C44)</f>
        <v>0</v>
      </c>
      <c r="D77" s="70">
        <f t="shared" si="3"/>
        <v>0</v>
      </c>
      <c r="E77" s="70">
        <f t="shared" si="3"/>
        <v>0</v>
      </c>
      <c r="F77" s="70">
        <f t="shared" si="3"/>
        <v>0</v>
      </c>
      <c r="G77" s="70">
        <f t="shared" si="3"/>
        <v>0</v>
      </c>
      <c r="H77" s="35">
        <f t="shared" si="4"/>
        <v>0</v>
      </c>
      <c r="I77" s="5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ht="15.75" customHeight="1">
      <c r="A78" s="69">
        <v>3.0</v>
      </c>
      <c r="B78" s="3" t="s">
        <v>92</v>
      </c>
      <c r="C78" s="35">
        <f t="shared" ref="C78:G78" si="5">SUM(C47:C62)</f>
        <v>0</v>
      </c>
      <c r="D78" s="35">
        <f t="shared" si="5"/>
        <v>0</v>
      </c>
      <c r="E78" s="35">
        <f t="shared" si="5"/>
        <v>0</v>
      </c>
      <c r="F78" s="35">
        <f t="shared" si="5"/>
        <v>0</v>
      </c>
      <c r="G78" s="35">
        <f t="shared" si="5"/>
        <v>0</v>
      </c>
      <c r="H78" s="35">
        <f t="shared" si="4"/>
        <v>0</v>
      </c>
      <c r="I78" s="56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ht="15.75" customHeight="1">
      <c r="A79" s="69">
        <v>4.0</v>
      </c>
      <c r="B79" s="3" t="s">
        <v>93</v>
      </c>
      <c r="C79" s="70">
        <f>Jun!C33</f>
        <v>4889500</v>
      </c>
      <c r="D79" s="70">
        <f>Jun!C34</f>
        <v>1607000</v>
      </c>
      <c r="E79" s="70">
        <f>Jun!C35</f>
        <v>741000</v>
      </c>
      <c r="F79" s="70">
        <f>Jun!C36</f>
        <v>1030000</v>
      </c>
      <c r="G79" s="70">
        <f>Jun!C37</f>
        <v>4028500</v>
      </c>
      <c r="H79" s="74">
        <f>Jun!C38</f>
        <v>12296000</v>
      </c>
      <c r="I79" s="5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ht="15.75" customHeight="1">
      <c r="A80" s="3"/>
      <c r="B80" s="72" t="s">
        <v>94</v>
      </c>
      <c r="C80" s="36">
        <f t="shared" ref="C80:G80" si="6">SUM(C66:C79)</f>
        <v>4889500</v>
      </c>
      <c r="D80" s="36">
        <f t="shared" si="6"/>
        <v>1607000</v>
      </c>
      <c r="E80" s="36">
        <f t="shared" si="6"/>
        <v>741000</v>
      </c>
      <c r="F80" s="36">
        <f t="shared" si="6"/>
        <v>1030000</v>
      </c>
      <c r="G80" s="36">
        <f t="shared" si="6"/>
        <v>4028500</v>
      </c>
      <c r="H80" s="36">
        <f>SUM(C80:G80)</f>
        <v>12296000</v>
      </c>
      <c r="I80" s="5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51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51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ht="15.75" customHeight="1">
      <c r="A83" s="3"/>
      <c r="B83" s="70"/>
      <c r="C83" s="70"/>
      <c r="D83" s="70"/>
      <c r="E83" s="70"/>
      <c r="F83" s="70"/>
      <c r="G83" s="70"/>
      <c r="H83" s="70"/>
      <c r="I83" s="51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ht="15.75" customHeight="1">
      <c r="A84" s="3"/>
      <c r="B84" s="3"/>
      <c r="C84" s="70"/>
      <c r="D84" s="3"/>
      <c r="E84" s="3"/>
      <c r="F84" s="3"/>
      <c r="G84" s="3"/>
      <c r="H84" s="3"/>
      <c r="I84" s="51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51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ht="15.75" customHeight="1">
      <c r="A86" s="3"/>
      <c r="B86" s="3"/>
      <c r="C86" s="23"/>
      <c r="D86" s="3"/>
      <c r="E86" s="3"/>
      <c r="F86" s="3"/>
      <c r="G86" s="3"/>
      <c r="H86" s="3"/>
      <c r="I86" s="51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51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51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51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51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51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51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51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51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51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51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51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51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51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51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51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51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51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51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51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51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51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51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51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51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51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51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51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51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51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51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51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51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51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51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51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51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51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51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51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51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51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51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51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51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51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51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51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51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51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51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51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51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51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51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51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51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51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51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51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51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51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51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51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51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51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51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51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51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51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51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51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51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51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51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51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51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51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51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51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51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51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51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51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51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51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51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51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51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51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51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51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51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51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51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51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51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51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51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51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51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51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51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51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51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51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51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51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51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51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51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51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51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51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51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51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51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51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51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51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51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51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51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51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51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51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51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51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51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51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51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51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51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51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51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51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51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51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51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51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51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51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51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51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51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51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51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51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51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51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51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51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51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51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51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51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51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51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51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51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51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51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51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51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51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51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51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51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51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51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51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51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51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51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51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51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51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51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51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51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51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51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51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51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51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51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51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51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51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51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51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51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51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51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51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23.13"/>
    <col customWidth="1" min="3" max="6" width="12.63"/>
    <col customWidth="1" min="8" max="8" width="15.0"/>
  </cols>
  <sheetData>
    <row r="1" ht="15.75" customHeight="1">
      <c r="A1" s="3"/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50" t="s">
        <v>95</v>
      </c>
      <c r="H1" s="3"/>
      <c r="I1" s="51" t="s">
        <v>36</v>
      </c>
      <c r="J1" s="3"/>
      <c r="K1" s="3"/>
      <c r="L1" s="3"/>
      <c r="M1" s="3"/>
      <c r="N1" s="3"/>
      <c r="O1" s="5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15.75" customHeight="1">
      <c r="A2" s="3"/>
      <c r="B2" s="3" t="s">
        <v>37</v>
      </c>
      <c r="C2" s="36"/>
      <c r="D2" s="36"/>
      <c r="E2" s="36"/>
      <c r="F2" s="36"/>
      <c r="G2" s="36"/>
      <c r="H2" s="36"/>
      <c r="I2" s="5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15.75" customHeight="1">
      <c r="A3" s="54">
        <v>1.0</v>
      </c>
      <c r="B3" s="3" t="s">
        <v>38</v>
      </c>
      <c r="C3" s="55"/>
      <c r="D3" s="55"/>
      <c r="E3" s="55"/>
      <c r="F3" s="55"/>
      <c r="G3" s="55"/>
      <c r="H3" s="36"/>
      <c r="I3" s="56">
        <f t="shared" ref="I3:I21" si="1">SUM(C3:F3)</f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15.75" customHeight="1">
      <c r="A4" s="54">
        <v>2.0</v>
      </c>
      <c r="B4" s="3" t="s">
        <v>39</v>
      </c>
      <c r="C4" s="55"/>
      <c r="D4" s="55"/>
      <c r="E4" s="55"/>
      <c r="F4" s="55"/>
      <c r="G4" s="55"/>
      <c r="H4" s="36"/>
      <c r="I4" s="56">
        <f t="shared" si="1"/>
        <v>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ht="15.75" customHeight="1">
      <c r="A5" s="54">
        <v>3.0</v>
      </c>
      <c r="B5" s="3" t="s">
        <v>40</v>
      </c>
      <c r="C5" s="55"/>
      <c r="D5" s="55"/>
      <c r="E5" s="55"/>
      <c r="F5" s="55"/>
      <c r="G5" s="55"/>
      <c r="H5" s="36"/>
      <c r="I5" s="56">
        <f t="shared" si="1"/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15.75" customHeight="1">
      <c r="A6" s="54">
        <v>4.0</v>
      </c>
      <c r="B6" s="3" t="s">
        <v>41</v>
      </c>
      <c r="C6" s="55"/>
      <c r="D6" s="55"/>
      <c r="E6" s="55"/>
      <c r="F6" s="55"/>
      <c r="G6" s="55"/>
      <c r="H6" s="36"/>
      <c r="I6" s="56">
        <f t="shared" si="1"/>
        <v>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ht="15.75" customHeight="1">
      <c r="A7" s="54">
        <v>5.0</v>
      </c>
      <c r="B7" s="3" t="s">
        <v>42</v>
      </c>
      <c r="C7" s="55"/>
      <c r="D7" s="55"/>
      <c r="E7" s="55"/>
      <c r="F7" s="55"/>
      <c r="G7" s="55"/>
      <c r="H7" s="36"/>
      <c r="I7" s="56">
        <f t="shared" si="1"/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ht="15.75" customHeight="1">
      <c r="A8" s="54">
        <v>6.0</v>
      </c>
      <c r="B8" s="3" t="s">
        <v>43</v>
      </c>
      <c r="C8" s="59"/>
      <c r="D8" s="59"/>
      <c r="E8" s="59"/>
      <c r="F8" s="59"/>
      <c r="G8" s="59"/>
      <c r="H8" s="36"/>
      <c r="I8" s="56">
        <f t="shared" si="1"/>
        <v>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15.75" customHeight="1">
      <c r="A9" s="54">
        <v>7.0</v>
      </c>
      <c r="B9" s="3" t="s">
        <v>44</v>
      </c>
      <c r="C9" s="55"/>
      <c r="D9" s="55"/>
      <c r="E9" s="55"/>
      <c r="F9" s="55"/>
      <c r="G9" s="55"/>
      <c r="H9" s="36"/>
      <c r="I9" s="56">
        <f t="shared" si="1"/>
        <v>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57"/>
      <c r="Z9" s="3"/>
      <c r="AA9" s="3"/>
      <c r="AB9" s="3"/>
      <c r="AC9" s="3"/>
    </row>
    <row r="10" ht="15.75" customHeight="1">
      <c r="A10" s="54">
        <v>8.0</v>
      </c>
      <c r="B10" s="3" t="s">
        <v>45</v>
      </c>
      <c r="C10" s="55"/>
      <c r="D10" s="55"/>
      <c r="E10" s="55"/>
      <c r="F10" s="55"/>
      <c r="G10" s="55"/>
      <c r="H10" s="36"/>
      <c r="I10" s="56">
        <f t="shared" si="1"/>
        <v>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15.75" customHeight="1">
      <c r="A11" s="54">
        <v>9.0</v>
      </c>
      <c r="B11" s="3" t="s">
        <v>46</v>
      </c>
      <c r="C11" s="55"/>
      <c r="D11" s="55"/>
      <c r="E11" s="55"/>
      <c r="F11" s="55"/>
      <c r="G11" s="55"/>
      <c r="H11" s="36"/>
      <c r="I11" s="56">
        <f t="shared" si="1"/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15.75" customHeight="1">
      <c r="A12" s="54">
        <v>10.0</v>
      </c>
      <c r="B12" s="3" t="s">
        <v>47</v>
      </c>
      <c r="C12" s="55"/>
      <c r="D12" s="55"/>
      <c r="E12" s="55"/>
      <c r="F12" s="55"/>
      <c r="G12" s="55"/>
      <c r="H12" s="36"/>
      <c r="I12" s="56">
        <f t="shared" si="1"/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ht="15.75" customHeight="1">
      <c r="A13" s="54">
        <v>11.0</v>
      </c>
      <c r="B13" s="3" t="s">
        <v>48</v>
      </c>
      <c r="C13" s="55"/>
      <c r="D13" s="55"/>
      <c r="E13" s="55"/>
      <c r="F13" s="55"/>
      <c r="G13" s="55"/>
      <c r="H13" s="36"/>
      <c r="I13" s="56">
        <f t="shared" si="1"/>
        <v>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15.75" customHeight="1">
      <c r="A14" s="54">
        <v>12.0</v>
      </c>
      <c r="B14" s="3" t="s">
        <v>49</v>
      </c>
      <c r="C14" s="58"/>
      <c r="D14" s="59"/>
      <c r="E14" s="59"/>
      <c r="F14" s="59"/>
      <c r="G14" s="59"/>
      <c r="H14" s="36"/>
      <c r="I14" s="56">
        <f t="shared" si="1"/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15.75" customHeight="1">
      <c r="A15" s="54">
        <v>13.0</v>
      </c>
      <c r="B15" s="3" t="s">
        <v>50</v>
      </c>
      <c r="C15" s="55"/>
      <c r="D15" s="55"/>
      <c r="E15" s="55"/>
      <c r="F15" s="55"/>
      <c r="G15" s="55"/>
      <c r="H15" s="36"/>
      <c r="I15" s="56">
        <f t="shared" si="1"/>
        <v>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15.75" customHeight="1">
      <c r="A16" s="54">
        <v>14.0</v>
      </c>
      <c r="B16" s="3" t="s">
        <v>51</v>
      </c>
      <c r="C16" s="55"/>
      <c r="D16" s="55"/>
      <c r="E16" s="55"/>
      <c r="F16" s="55"/>
      <c r="G16" s="55"/>
      <c r="H16" s="36"/>
      <c r="I16" s="56">
        <f t="shared" si="1"/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ht="15.75" customHeight="1">
      <c r="A17" s="54">
        <v>15.0</v>
      </c>
      <c r="B17" s="3" t="s">
        <v>96</v>
      </c>
      <c r="C17" s="58"/>
      <c r="D17" s="59"/>
      <c r="E17" s="59"/>
      <c r="F17" s="59"/>
      <c r="G17" s="59"/>
      <c r="H17" s="36"/>
      <c r="I17" s="56">
        <f t="shared" si="1"/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ht="15.75" customHeight="1">
      <c r="A18" s="54">
        <v>16.0</v>
      </c>
      <c r="B18" s="3" t="s">
        <v>53</v>
      </c>
      <c r="C18" s="58"/>
      <c r="D18" s="59"/>
      <c r="E18" s="59"/>
      <c r="F18" s="59"/>
      <c r="G18" s="59"/>
      <c r="H18" s="36"/>
      <c r="I18" s="56">
        <f t="shared" si="1"/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ht="15.75" customHeight="1">
      <c r="A19" s="54">
        <v>17.0</v>
      </c>
      <c r="B19" s="3" t="s">
        <v>54</v>
      </c>
      <c r="C19" s="55"/>
      <c r="D19" s="55"/>
      <c r="E19" s="55"/>
      <c r="F19" s="55"/>
      <c r="G19" s="55"/>
      <c r="H19" s="36"/>
      <c r="I19" s="56">
        <f t="shared" si="1"/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ht="15.75" customHeight="1">
      <c r="A20" s="54">
        <v>18.0</v>
      </c>
      <c r="B20" s="3" t="s">
        <v>97</v>
      </c>
      <c r="C20" s="58"/>
      <c r="D20" s="59"/>
      <c r="E20" s="59"/>
      <c r="F20" s="59"/>
      <c r="G20" s="59"/>
      <c r="H20" s="36"/>
      <c r="I20" s="56">
        <f t="shared" si="1"/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ht="15.75" customHeight="1">
      <c r="A21" s="54">
        <v>19.0</v>
      </c>
      <c r="B21" s="3" t="s">
        <v>56</v>
      </c>
      <c r="C21" s="55"/>
      <c r="D21" s="55"/>
      <c r="E21" s="55"/>
      <c r="F21" s="55"/>
      <c r="G21" s="55"/>
      <c r="H21" s="36"/>
      <c r="I21" s="56">
        <f t="shared" si="1"/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ht="15.75" customHeight="1">
      <c r="A22" s="3"/>
      <c r="B22" s="3"/>
      <c r="C22" s="36"/>
      <c r="D22" s="36"/>
      <c r="E22" s="36"/>
      <c r="F22" s="36"/>
      <c r="G22" s="36"/>
      <c r="H22" s="36"/>
      <c r="I22" s="5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ht="15.75" customHeight="1">
      <c r="A23" s="3"/>
      <c r="B23" s="3"/>
      <c r="C23" s="36"/>
      <c r="D23" s="36"/>
      <c r="E23" s="36"/>
      <c r="F23" s="36"/>
      <c r="G23" s="36"/>
      <c r="H23" s="36"/>
      <c r="I23" s="5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ht="15.75" customHeight="1">
      <c r="A24" s="3"/>
      <c r="B24" s="3"/>
      <c r="C24" s="36"/>
      <c r="D24" s="36"/>
      <c r="E24" s="36"/>
      <c r="F24" s="36"/>
      <c r="G24" s="36"/>
      <c r="H24" s="36"/>
      <c r="I24" s="5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ht="15.75" customHeight="1">
      <c r="A25" s="3"/>
      <c r="B25" s="3"/>
      <c r="C25" s="36"/>
      <c r="D25" s="36"/>
      <c r="E25" s="36"/>
      <c r="F25" s="36"/>
      <c r="G25" s="36"/>
      <c r="H25" s="36"/>
      <c r="I25" s="5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ht="15.75" customHeight="1">
      <c r="A26" s="3"/>
      <c r="B26" s="3" t="s">
        <v>57</v>
      </c>
      <c r="C26" s="36"/>
      <c r="D26" s="36"/>
      <c r="E26" s="36"/>
      <c r="F26" s="36"/>
      <c r="G26" s="36"/>
      <c r="H26" s="36"/>
      <c r="I26" s="5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ht="15.75" customHeight="1">
      <c r="A27" s="54">
        <v>1.0</v>
      </c>
      <c r="B27" s="3" t="s">
        <v>58</v>
      </c>
      <c r="C27" s="63"/>
      <c r="D27" s="63"/>
      <c r="E27" s="63"/>
      <c r="F27" s="63"/>
      <c r="G27" s="63"/>
      <c r="H27" s="36"/>
      <c r="I27" s="5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ht="15.75" customHeight="1">
      <c r="A28" s="54">
        <v>2.0</v>
      </c>
      <c r="B28" s="3" t="s">
        <v>59</v>
      </c>
      <c r="C28" s="63"/>
      <c r="D28" s="63"/>
      <c r="E28" s="63"/>
      <c r="F28" s="63"/>
      <c r="G28" s="63"/>
      <c r="H28" s="36"/>
      <c r="I28" s="5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ht="15.75" customHeight="1">
      <c r="A29" s="54">
        <v>3.0</v>
      </c>
      <c r="B29" s="3" t="s">
        <v>60</v>
      </c>
      <c r="C29" s="63"/>
      <c r="D29" s="63"/>
      <c r="E29" s="63"/>
      <c r="F29" s="63"/>
      <c r="G29" s="63"/>
      <c r="H29" s="36"/>
      <c r="I29" s="5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ht="15.75" customHeight="1">
      <c r="A30" s="54">
        <v>4.0</v>
      </c>
      <c r="B30" s="3" t="s">
        <v>61</v>
      </c>
      <c r="C30" s="63"/>
      <c r="D30" s="63"/>
      <c r="E30" s="63"/>
      <c r="F30" s="63"/>
      <c r="G30" s="63"/>
      <c r="H30" s="36"/>
      <c r="I30" s="5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ht="15.75" customHeight="1">
      <c r="A31" s="54">
        <v>5.0</v>
      </c>
      <c r="B31" s="3" t="s">
        <v>62</v>
      </c>
      <c r="C31" s="63"/>
      <c r="D31" s="63"/>
      <c r="E31" s="63"/>
      <c r="F31" s="63"/>
      <c r="G31" s="63"/>
      <c r="H31" s="36"/>
      <c r="I31" s="5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ht="15.75" customHeight="1">
      <c r="A32" s="54">
        <v>6.0</v>
      </c>
      <c r="B32" s="3" t="s">
        <v>63</v>
      </c>
      <c r="C32" s="63"/>
      <c r="D32" s="63"/>
      <c r="E32" s="63"/>
      <c r="F32" s="63"/>
      <c r="G32" s="63"/>
      <c r="H32" s="36"/>
      <c r="I32" s="5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ht="15.75" customHeight="1">
      <c r="A33" s="54">
        <v>7.0</v>
      </c>
      <c r="B33" s="3" t="s">
        <v>64</v>
      </c>
      <c r="C33" s="63"/>
      <c r="D33" s="63"/>
      <c r="E33" s="63"/>
      <c r="F33" s="63"/>
      <c r="G33" s="63"/>
      <c r="H33" s="36"/>
      <c r="I33" s="5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ht="15.75" customHeight="1">
      <c r="A34" s="54">
        <v>8.0</v>
      </c>
      <c r="B34" s="3" t="s">
        <v>65</v>
      </c>
      <c r="C34" s="63"/>
      <c r="D34" s="63"/>
      <c r="E34" s="63"/>
      <c r="F34" s="63"/>
      <c r="G34" s="63"/>
      <c r="H34" s="36"/>
      <c r="I34" s="5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ht="15.75" customHeight="1">
      <c r="A35" s="54">
        <v>9.0</v>
      </c>
      <c r="B35" s="3" t="s">
        <v>66</v>
      </c>
      <c r="C35" s="63"/>
      <c r="D35" s="63"/>
      <c r="E35" s="63"/>
      <c r="F35" s="63"/>
      <c r="G35" s="63"/>
      <c r="H35" s="36"/>
      <c r="I35" s="5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ht="15.75" customHeight="1">
      <c r="A36" s="54">
        <v>10.0</v>
      </c>
      <c r="B36" s="3" t="s">
        <v>67</v>
      </c>
      <c r="C36" s="63"/>
      <c r="D36" s="63"/>
      <c r="E36" s="63"/>
      <c r="F36" s="63"/>
      <c r="G36" s="63"/>
      <c r="H36" s="36"/>
      <c r="I36" s="5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ht="15.75" customHeight="1">
      <c r="A37" s="54">
        <v>11.0</v>
      </c>
      <c r="B37" s="3" t="s">
        <v>68</v>
      </c>
      <c r="C37" s="63"/>
      <c r="D37" s="63"/>
      <c r="E37" s="63"/>
      <c r="F37" s="63"/>
      <c r="G37" s="63"/>
      <c r="H37" s="36"/>
      <c r="I37" s="5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ht="15.75" customHeight="1">
      <c r="A38" s="54">
        <v>12.0</v>
      </c>
      <c r="B38" s="3" t="s">
        <v>69</v>
      </c>
      <c r="C38" s="63"/>
      <c r="D38" s="63"/>
      <c r="E38" s="63"/>
      <c r="F38" s="63"/>
      <c r="G38" s="63"/>
      <c r="H38" s="36"/>
      <c r="I38" s="5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ht="15.75" customHeight="1">
      <c r="A39" s="54">
        <v>13.0</v>
      </c>
      <c r="B39" s="3" t="s">
        <v>70</v>
      </c>
      <c r="C39" s="63"/>
      <c r="D39" s="63"/>
      <c r="E39" s="63"/>
      <c r="F39" s="63"/>
      <c r="G39" s="63"/>
      <c r="H39" s="36"/>
      <c r="I39" s="5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ht="15.75" customHeight="1">
      <c r="A40" s="54">
        <v>14.0</v>
      </c>
      <c r="B40" s="3" t="s">
        <v>71</v>
      </c>
      <c r="C40" s="63"/>
      <c r="D40" s="63"/>
      <c r="E40" s="63"/>
      <c r="F40" s="63"/>
      <c r="G40" s="63"/>
      <c r="H40" s="36"/>
      <c r="I40" s="5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ht="15.75" customHeight="1">
      <c r="A41" s="54">
        <v>15.0</v>
      </c>
      <c r="B41" s="3" t="s">
        <v>72</v>
      </c>
      <c r="C41" s="63"/>
      <c r="D41" s="63"/>
      <c r="E41" s="63"/>
      <c r="F41" s="63"/>
      <c r="G41" s="63"/>
      <c r="H41" s="36"/>
      <c r="I41" s="5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ht="15.75" customHeight="1">
      <c r="A42" s="54">
        <v>16.0</v>
      </c>
      <c r="B42" s="3" t="s">
        <v>73</v>
      </c>
      <c r="C42" s="35"/>
      <c r="D42" s="35"/>
      <c r="E42" s="35"/>
      <c r="F42" s="35"/>
      <c r="G42" s="35"/>
      <c r="H42" s="36"/>
      <c r="I42" s="5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ht="15.75" customHeight="1">
      <c r="A43" s="3"/>
      <c r="B43" s="3"/>
      <c r="C43" s="36"/>
      <c r="D43" s="36"/>
      <c r="E43" s="36"/>
      <c r="F43" s="36"/>
      <c r="G43" s="36"/>
      <c r="H43" s="36"/>
      <c r="I43" s="5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ht="15.75" customHeight="1">
      <c r="A44" s="3"/>
      <c r="B44" s="3"/>
      <c r="C44" s="36"/>
      <c r="D44" s="36"/>
      <c r="E44" s="36"/>
      <c r="F44" s="36"/>
      <c r="G44" s="36"/>
      <c r="H44" s="36"/>
      <c r="I44" s="5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ht="15.75" customHeight="1">
      <c r="A45" s="3"/>
      <c r="B45" s="3"/>
      <c r="C45" s="36"/>
      <c r="D45" s="36"/>
      <c r="E45" s="36"/>
      <c r="F45" s="36"/>
      <c r="G45" s="36"/>
      <c r="H45" s="36"/>
      <c r="I45" s="5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ht="15.75" customHeight="1">
      <c r="A46" s="3"/>
      <c r="B46" s="3" t="s">
        <v>74</v>
      </c>
      <c r="C46" s="36"/>
      <c r="D46" s="36"/>
      <c r="E46" s="36"/>
      <c r="F46" s="36"/>
      <c r="G46" s="36"/>
      <c r="H46" s="36"/>
      <c r="I46" s="5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ht="15.75" customHeight="1">
      <c r="A47" s="62">
        <v>1.0</v>
      </c>
      <c r="B47" s="75" t="s">
        <v>103</v>
      </c>
      <c r="C47" s="63"/>
      <c r="D47" s="63"/>
      <c r="E47" s="63"/>
      <c r="F47" s="63"/>
      <c r="G47" s="63"/>
      <c r="H47" s="36"/>
      <c r="I47" s="5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ht="15.75" customHeight="1">
      <c r="A48" s="62">
        <v>2.0</v>
      </c>
      <c r="B48" s="75" t="s">
        <v>104</v>
      </c>
      <c r="C48" s="63"/>
      <c r="D48" s="63"/>
      <c r="E48" s="63"/>
      <c r="F48" s="63"/>
      <c r="G48" s="63"/>
      <c r="H48" s="36"/>
      <c r="I48" s="5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ht="15.75" customHeight="1">
      <c r="A49" s="62">
        <v>3.0</v>
      </c>
      <c r="B49" s="75" t="s">
        <v>105</v>
      </c>
      <c r="C49" s="63"/>
      <c r="D49" s="63"/>
      <c r="E49" s="63"/>
      <c r="F49" s="63"/>
      <c r="G49" s="63"/>
      <c r="H49" s="36"/>
      <c r="I49" s="5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ht="15.75" customHeight="1">
      <c r="A50" s="62">
        <v>4.0</v>
      </c>
      <c r="B50" s="75" t="s">
        <v>106</v>
      </c>
      <c r="C50" s="63"/>
      <c r="D50" s="63"/>
      <c r="E50" s="63"/>
      <c r="F50" s="63"/>
      <c r="G50" s="63"/>
      <c r="H50" s="36"/>
      <c r="I50" s="5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ht="15.75" customHeight="1">
      <c r="A51" s="62">
        <v>5.0</v>
      </c>
      <c r="B51" s="75" t="s">
        <v>107</v>
      </c>
      <c r="C51" s="63"/>
      <c r="D51" s="63"/>
      <c r="E51" s="63"/>
      <c r="F51" s="63"/>
      <c r="G51" s="63"/>
      <c r="H51" s="36"/>
      <c r="I51" s="5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ht="15.75" customHeight="1">
      <c r="A52" s="62">
        <v>6.0</v>
      </c>
      <c r="B52" s="75" t="s">
        <v>108</v>
      </c>
      <c r="C52" s="63"/>
      <c r="D52" s="63"/>
      <c r="E52" s="63"/>
      <c r="F52" s="63"/>
      <c r="G52" s="63"/>
      <c r="H52" s="36"/>
      <c r="I52" s="5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ht="15.75" customHeight="1">
      <c r="A53" s="62">
        <v>7.0</v>
      </c>
      <c r="B53" s="75" t="s">
        <v>109</v>
      </c>
      <c r="C53" s="63"/>
      <c r="D53" s="63"/>
      <c r="E53" s="63"/>
      <c r="F53" s="63"/>
      <c r="G53" s="63"/>
      <c r="H53" s="36"/>
      <c r="I53" s="5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ht="15.75" customHeight="1">
      <c r="A54" s="62">
        <v>8.0</v>
      </c>
      <c r="B54" s="75" t="s">
        <v>110</v>
      </c>
      <c r="C54" s="63"/>
      <c r="D54" s="63"/>
      <c r="E54" s="63"/>
      <c r="F54" s="63"/>
      <c r="G54" s="63"/>
      <c r="H54" s="36"/>
      <c r="I54" s="5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ht="15.75" customHeight="1">
      <c r="A55" s="62">
        <v>9.0</v>
      </c>
      <c r="B55" s="75" t="s">
        <v>111</v>
      </c>
      <c r="C55" s="63"/>
      <c r="D55" s="63"/>
      <c r="E55" s="63"/>
      <c r="F55" s="63"/>
      <c r="G55" s="63"/>
      <c r="H55" s="36"/>
      <c r="I55" s="5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ht="15.75" customHeight="1">
      <c r="A56" s="62">
        <v>10.0</v>
      </c>
      <c r="B56" s="75" t="s">
        <v>112</v>
      </c>
      <c r="C56" s="63"/>
      <c r="D56" s="63"/>
      <c r="E56" s="63"/>
      <c r="F56" s="63"/>
      <c r="G56" s="63"/>
      <c r="H56" s="36"/>
      <c r="I56" s="5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ht="15.75" customHeight="1">
      <c r="A57" s="62">
        <v>11.0</v>
      </c>
      <c r="B57" s="75" t="s">
        <v>113</v>
      </c>
      <c r="C57" s="63"/>
      <c r="D57" s="63"/>
      <c r="E57" s="63"/>
      <c r="F57" s="63"/>
      <c r="G57" s="63"/>
      <c r="H57" s="36"/>
      <c r="I57" s="5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ht="15.75" customHeight="1">
      <c r="A58" s="62">
        <v>12.0</v>
      </c>
      <c r="B58" s="75" t="s">
        <v>114</v>
      </c>
      <c r="C58" s="63"/>
      <c r="D58" s="63"/>
      <c r="E58" s="63"/>
      <c r="F58" s="63"/>
      <c r="G58" s="63"/>
      <c r="H58" s="36"/>
      <c r="I58" s="5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ht="15.75" customHeight="1">
      <c r="A59" s="62">
        <v>13.0</v>
      </c>
      <c r="B59" s="75" t="s">
        <v>115</v>
      </c>
      <c r="C59" s="73"/>
      <c r="D59" s="73"/>
      <c r="E59" s="73"/>
      <c r="F59" s="73"/>
      <c r="G59" s="73"/>
      <c r="H59" s="36"/>
      <c r="I59" s="5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ht="15.75" customHeight="1">
      <c r="A60" s="50">
        <v>14.0</v>
      </c>
      <c r="B60" s="75" t="s">
        <v>116</v>
      </c>
      <c r="C60" s="73"/>
      <c r="D60" s="73"/>
      <c r="E60" s="73"/>
      <c r="F60" s="73"/>
      <c r="G60" s="73"/>
      <c r="H60" s="36"/>
      <c r="I60" s="5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ht="15.75" customHeight="1">
      <c r="A61" s="3"/>
      <c r="B61" s="3"/>
      <c r="C61" s="36"/>
      <c r="D61" s="36"/>
      <c r="E61" s="36"/>
      <c r="F61" s="36"/>
      <c r="G61" s="36"/>
      <c r="H61" s="36"/>
      <c r="I61" s="5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ht="15.75" customHeight="1">
      <c r="A62" s="3"/>
      <c r="B62" s="3"/>
      <c r="C62" s="36"/>
      <c r="D62" s="36"/>
      <c r="E62" s="36"/>
      <c r="F62" s="36"/>
      <c r="G62" s="36"/>
      <c r="H62" s="36"/>
      <c r="I62" s="5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ht="15.75" customHeight="1">
      <c r="A63" s="3"/>
      <c r="B63" s="3"/>
      <c r="C63" s="36"/>
      <c r="D63" s="36"/>
      <c r="E63" s="36"/>
      <c r="F63" s="36"/>
      <c r="G63" s="36"/>
      <c r="H63" s="36"/>
      <c r="I63" s="36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ht="15.75" customHeight="1">
      <c r="A64" s="3"/>
      <c r="B64" s="3" t="s">
        <v>87</v>
      </c>
      <c r="C64" s="36"/>
      <c r="D64" s="36"/>
      <c r="E64" s="36"/>
      <c r="F64" s="36"/>
      <c r="G64" s="36"/>
      <c r="H64" s="36"/>
      <c r="I64" s="5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ht="15.75" customHeight="1">
      <c r="A65" s="85"/>
      <c r="B65" s="85"/>
      <c r="C65" s="85"/>
      <c r="D65" s="85"/>
      <c r="E65" s="85"/>
      <c r="F65" s="85"/>
      <c r="G65" s="85"/>
      <c r="H65" s="85"/>
      <c r="I65" s="85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ht="15.75" customHeight="1">
      <c r="A66" s="50"/>
      <c r="B66" s="50"/>
      <c r="C66" s="76"/>
      <c r="D66" s="76"/>
      <c r="E66" s="76"/>
      <c r="F66" s="76"/>
      <c r="G66" s="76"/>
      <c r="H66" s="67"/>
      <c r="I66" s="56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ht="15.75" customHeight="1">
      <c r="A67" s="50"/>
      <c r="B67" s="50"/>
      <c r="C67" s="76"/>
      <c r="D67" s="76"/>
      <c r="E67" s="76"/>
      <c r="F67" s="76"/>
      <c r="G67" s="76"/>
      <c r="H67" s="67"/>
      <c r="I67" s="56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ht="15.75" customHeight="1"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ht="15.75" customHeight="1">
      <c r="A69" s="3"/>
      <c r="B69" s="3"/>
      <c r="C69" s="36"/>
      <c r="D69" s="36"/>
      <c r="E69" s="36"/>
      <c r="F69" s="36"/>
      <c r="G69" s="36"/>
      <c r="H69" s="36"/>
      <c r="I69" s="5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ht="15.75" customHeight="1">
      <c r="A70" s="3"/>
      <c r="B70" s="3"/>
      <c r="C70" s="36"/>
      <c r="D70" s="36"/>
      <c r="E70" s="36"/>
      <c r="F70" s="36"/>
      <c r="G70" s="36"/>
      <c r="H70" s="36"/>
      <c r="I70" s="5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ht="15.75" customHeight="1">
      <c r="A71" s="3"/>
      <c r="B71" s="3"/>
      <c r="C71" s="36"/>
      <c r="D71" s="36"/>
      <c r="E71" s="36"/>
      <c r="F71" s="36"/>
      <c r="G71" s="36"/>
      <c r="H71" s="36"/>
      <c r="I71" s="5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ht="15.75" customHeight="1">
      <c r="A72" s="3"/>
      <c r="B72" s="3"/>
      <c r="C72" s="36"/>
      <c r="D72" s="36"/>
      <c r="E72" s="36"/>
      <c r="F72" s="36"/>
      <c r="G72" s="36"/>
      <c r="H72" s="36"/>
      <c r="I72" s="5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ht="15.75" customHeight="1">
      <c r="A73" s="3"/>
      <c r="B73" s="3"/>
      <c r="C73" s="36"/>
      <c r="D73" s="36"/>
      <c r="E73" s="36"/>
      <c r="F73" s="36"/>
      <c r="G73" s="36"/>
      <c r="H73" s="36"/>
      <c r="I73" s="5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ht="15.75" customHeight="1">
      <c r="A74" s="3"/>
      <c r="B74" s="3"/>
      <c r="C74" s="36"/>
      <c r="D74" s="36"/>
      <c r="E74" s="36"/>
      <c r="F74" s="36"/>
      <c r="G74" s="36"/>
      <c r="H74" s="36"/>
      <c r="I74" s="5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ht="15.75" customHeight="1">
      <c r="A75" s="3"/>
      <c r="B75" s="3"/>
      <c r="C75" s="36"/>
      <c r="D75" s="36"/>
      <c r="E75" s="36"/>
      <c r="F75" s="36"/>
      <c r="G75" s="36"/>
      <c r="H75" s="36"/>
      <c r="I75" s="5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ht="15.75" customHeight="1">
      <c r="A76" s="69">
        <v>1.0</v>
      </c>
      <c r="B76" s="3" t="s">
        <v>90</v>
      </c>
      <c r="C76" s="35">
        <f t="shared" ref="C76:G76" si="2">SUM(C3:C24)</f>
        <v>0</v>
      </c>
      <c r="D76" s="35">
        <f t="shared" si="2"/>
        <v>0</v>
      </c>
      <c r="E76" s="35">
        <f t="shared" si="2"/>
        <v>0</v>
      </c>
      <c r="F76" s="35">
        <f t="shared" si="2"/>
        <v>0</v>
      </c>
      <c r="G76" s="35">
        <f t="shared" si="2"/>
        <v>0</v>
      </c>
      <c r="H76" s="35">
        <f t="shared" ref="H76:H78" si="4">SUM(C76:G76)</f>
        <v>0</v>
      </c>
      <c r="I76" s="56">
        <f t="shared" ref="I76:I77" si="5">SUM(C76:F76)</f>
        <v>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ht="15.75" customHeight="1">
      <c r="A77" s="69">
        <v>2.0</v>
      </c>
      <c r="B77" s="3" t="s">
        <v>91</v>
      </c>
      <c r="C77" s="70">
        <f t="shared" ref="C77:G77" si="3">SuM(C27:C44)</f>
        <v>0</v>
      </c>
      <c r="D77" s="70">
        <f t="shared" si="3"/>
        <v>0</v>
      </c>
      <c r="E77" s="70">
        <f t="shared" si="3"/>
        <v>0</v>
      </c>
      <c r="F77" s="70">
        <f t="shared" si="3"/>
        <v>0</v>
      </c>
      <c r="G77" s="70">
        <f t="shared" si="3"/>
        <v>0</v>
      </c>
      <c r="H77" s="35">
        <f t="shared" si="4"/>
        <v>0</v>
      </c>
      <c r="I77" s="56">
        <f t="shared" si="5"/>
        <v>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ht="15.75" customHeight="1">
      <c r="A78" s="69">
        <v>3.0</v>
      </c>
      <c r="B78" s="3" t="s">
        <v>92</v>
      </c>
      <c r="C78" s="35">
        <f t="shared" ref="C78:G78" si="6">SUM(C47:C62)</f>
        <v>0</v>
      </c>
      <c r="D78" s="35">
        <f t="shared" si="6"/>
        <v>0</v>
      </c>
      <c r="E78" s="35">
        <f t="shared" si="6"/>
        <v>0</v>
      </c>
      <c r="F78" s="35">
        <f t="shared" si="6"/>
        <v>0</v>
      </c>
      <c r="G78" s="35">
        <f t="shared" si="6"/>
        <v>0</v>
      </c>
      <c r="H78" s="35">
        <f t="shared" si="4"/>
        <v>0</v>
      </c>
      <c r="I78" s="56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ht="15.75" customHeight="1">
      <c r="A79" s="69">
        <v>4.0</v>
      </c>
      <c r="B79" s="3" t="s">
        <v>93</v>
      </c>
      <c r="C79" s="70">
        <f>Jul!C33</f>
        <v>3464500</v>
      </c>
      <c r="D79" s="70">
        <f>Jul!C34</f>
        <v>1607000</v>
      </c>
      <c r="E79" s="70">
        <f>Jul!C35</f>
        <v>741000</v>
      </c>
      <c r="F79" s="70">
        <f>Jul!C36</f>
        <v>1030000</v>
      </c>
      <c r="G79" s="70">
        <f>Jul!C37</f>
        <v>4028500</v>
      </c>
      <c r="H79" s="74">
        <f>Jul!C38</f>
        <v>10871000</v>
      </c>
      <c r="I79" s="5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ht="15.75" customHeight="1">
      <c r="A80" s="3"/>
      <c r="B80" s="72" t="s">
        <v>94</v>
      </c>
      <c r="C80" s="35">
        <f t="shared" ref="C80:G80" si="7">SUM(C65:C79)</f>
        <v>3464500</v>
      </c>
      <c r="D80" s="35">
        <f t="shared" si="7"/>
        <v>1607000</v>
      </c>
      <c r="E80" s="35">
        <f t="shared" si="7"/>
        <v>741000</v>
      </c>
      <c r="F80" s="35">
        <f t="shared" si="7"/>
        <v>1030000</v>
      </c>
      <c r="G80" s="35">
        <f t="shared" si="7"/>
        <v>4028500</v>
      </c>
      <c r="H80" s="35">
        <f>SUM(C80:G80)</f>
        <v>10871000</v>
      </c>
      <c r="I80" s="5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51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51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ht="15.75" customHeight="1">
      <c r="A83" s="3"/>
      <c r="B83" s="70"/>
      <c r="C83" s="70"/>
      <c r="D83" s="70"/>
      <c r="E83" s="70"/>
      <c r="F83" s="70"/>
      <c r="G83" s="70"/>
      <c r="H83" s="70"/>
      <c r="I83" s="51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ht="15.75" customHeight="1">
      <c r="A84" s="3"/>
      <c r="B84" s="3"/>
      <c r="C84" s="70"/>
      <c r="D84" s="3"/>
      <c r="E84" s="3"/>
      <c r="F84" s="3"/>
      <c r="G84" s="3"/>
      <c r="H84" s="3"/>
      <c r="I84" s="51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51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ht="15.75" customHeight="1">
      <c r="A86" s="3"/>
      <c r="B86" s="3"/>
      <c r="C86" s="23"/>
      <c r="D86" s="3"/>
      <c r="E86" s="3"/>
      <c r="F86" s="3"/>
      <c r="G86" s="3"/>
      <c r="H86" s="3"/>
      <c r="I86" s="51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51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51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51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51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51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51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51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51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51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51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51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51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51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51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51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51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51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51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51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51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51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51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51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51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51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51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51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51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51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51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51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51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51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51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51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51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51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51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51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51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51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51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51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51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51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51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51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51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51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51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51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51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51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51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51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51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51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51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51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51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51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51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51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51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51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51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51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51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51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51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51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51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51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51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51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51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51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51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51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51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51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51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51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51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51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51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51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51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51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51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51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51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51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51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51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51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51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51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51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51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51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51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51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51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51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51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51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51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51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51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51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51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51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51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51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51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51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51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51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51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51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51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51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51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51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51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51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51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51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51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51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51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51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51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51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51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51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51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51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51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51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51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51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51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51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51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51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51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51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51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51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51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51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51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51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51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51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51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51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51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51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51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51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51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51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51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51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51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51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51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51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51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51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51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51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51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51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51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51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51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51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51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51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51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51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51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51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51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51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51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51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51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51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51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23.13"/>
    <col customWidth="1" min="3" max="3" width="14.0"/>
    <col customWidth="1" min="4" max="4" width="13.38"/>
    <col customWidth="1" min="5" max="5" width="14.0"/>
    <col customWidth="1" min="6" max="6" width="13.25"/>
    <col customWidth="1" min="7" max="8" width="14.0"/>
  </cols>
  <sheetData>
    <row r="1" ht="15.75" customHeight="1">
      <c r="A1" s="3"/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50" t="s">
        <v>95</v>
      </c>
      <c r="H1" s="3"/>
      <c r="I1" s="51" t="s">
        <v>36</v>
      </c>
      <c r="J1" s="3"/>
      <c r="K1" s="3"/>
      <c r="L1" s="3"/>
      <c r="M1" s="3"/>
      <c r="N1" s="3"/>
      <c r="O1" s="5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15.75" customHeight="1">
      <c r="A2" s="3"/>
      <c r="B2" s="3" t="s">
        <v>37</v>
      </c>
      <c r="C2" s="36"/>
      <c r="D2" s="36"/>
      <c r="E2" s="36"/>
      <c r="F2" s="36"/>
      <c r="G2" s="36"/>
      <c r="H2" s="36"/>
      <c r="I2" s="5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15.75" customHeight="1">
      <c r="A3" s="54">
        <v>1.0</v>
      </c>
      <c r="B3" s="3" t="s">
        <v>38</v>
      </c>
      <c r="C3" s="55"/>
      <c r="D3" s="55"/>
      <c r="E3" s="55"/>
      <c r="F3" s="55"/>
      <c r="G3" s="55"/>
      <c r="H3" s="36"/>
      <c r="I3" s="56">
        <f t="shared" ref="I3:I21" si="1">SUM(C3:F3)</f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15.75" customHeight="1">
      <c r="A4" s="54">
        <v>2.0</v>
      </c>
      <c r="B4" s="3" t="s">
        <v>39</v>
      </c>
      <c r="C4" s="55"/>
      <c r="D4" s="55"/>
      <c r="E4" s="55"/>
      <c r="F4" s="55"/>
      <c r="G4" s="55"/>
      <c r="H4" s="36"/>
      <c r="I4" s="56">
        <f t="shared" si="1"/>
        <v>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ht="15.75" customHeight="1">
      <c r="A5" s="54">
        <v>3.0</v>
      </c>
      <c r="B5" s="3" t="s">
        <v>40</v>
      </c>
      <c r="C5" s="55"/>
      <c r="D5" s="55"/>
      <c r="E5" s="55"/>
      <c r="F5" s="55"/>
      <c r="G5" s="55"/>
      <c r="H5" s="36"/>
      <c r="I5" s="56">
        <f t="shared" si="1"/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15.75" customHeight="1">
      <c r="A6" s="54">
        <v>4.0</v>
      </c>
      <c r="B6" s="3" t="s">
        <v>41</v>
      </c>
      <c r="C6" s="55"/>
      <c r="D6" s="55"/>
      <c r="E6" s="55"/>
      <c r="F6" s="55"/>
      <c r="G6" s="55"/>
      <c r="H6" s="36"/>
      <c r="I6" s="56">
        <f t="shared" si="1"/>
        <v>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ht="15.75" customHeight="1">
      <c r="A7" s="54">
        <v>5.0</v>
      </c>
      <c r="B7" s="3" t="s">
        <v>42</v>
      </c>
      <c r="C7" s="55"/>
      <c r="D7" s="55"/>
      <c r="E7" s="55"/>
      <c r="F7" s="55"/>
      <c r="G7" s="55"/>
      <c r="H7" s="36"/>
      <c r="I7" s="56">
        <f t="shared" si="1"/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ht="15.75" customHeight="1">
      <c r="A8" s="54">
        <v>6.0</v>
      </c>
      <c r="B8" s="3" t="s">
        <v>43</v>
      </c>
      <c r="C8" s="59"/>
      <c r="D8" s="59"/>
      <c r="E8" s="59"/>
      <c r="F8" s="59"/>
      <c r="G8" s="59"/>
      <c r="H8" s="36"/>
      <c r="I8" s="56">
        <f t="shared" si="1"/>
        <v>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15.75" customHeight="1">
      <c r="A9" s="54">
        <v>7.0</v>
      </c>
      <c r="B9" s="3" t="s">
        <v>44</v>
      </c>
      <c r="C9" s="55"/>
      <c r="D9" s="55"/>
      <c r="E9" s="55"/>
      <c r="F9" s="55"/>
      <c r="G9" s="55"/>
      <c r="H9" s="36"/>
      <c r="I9" s="56">
        <f t="shared" si="1"/>
        <v>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57"/>
      <c r="Z9" s="3"/>
      <c r="AA9" s="3"/>
      <c r="AB9" s="3"/>
      <c r="AC9" s="3"/>
    </row>
    <row r="10" ht="15.75" customHeight="1">
      <c r="A10" s="54">
        <v>8.0</v>
      </c>
      <c r="B10" s="3" t="s">
        <v>45</v>
      </c>
      <c r="C10" s="55"/>
      <c r="D10" s="55"/>
      <c r="E10" s="55"/>
      <c r="F10" s="55"/>
      <c r="G10" s="55"/>
      <c r="H10" s="36"/>
      <c r="I10" s="56">
        <f t="shared" si="1"/>
        <v>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15.75" customHeight="1">
      <c r="A11" s="54">
        <v>9.0</v>
      </c>
      <c r="B11" s="3" t="s">
        <v>46</v>
      </c>
      <c r="C11" s="55"/>
      <c r="D11" s="55"/>
      <c r="E11" s="55"/>
      <c r="F11" s="55"/>
      <c r="G11" s="55"/>
      <c r="H11" s="36"/>
      <c r="I11" s="56">
        <f t="shared" si="1"/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15.75" customHeight="1">
      <c r="A12" s="54">
        <v>10.0</v>
      </c>
      <c r="B12" s="3" t="s">
        <v>47</v>
      </c>
      <c r="C12" s="55"/>
      <c r="D12" s="55"/>
      <c r="E12" s="55"/>
      <c r="F12" s="55"/>
      <c r="G12" s="55"/>
      <c r="H12" s="36"/>
      <c r="I12" s="56">
        <f t="shared" si="1"/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ht="15.75" customHeight="1">
      <c r="A13" s="54">
        <v>11.0</v>
      </c>
      <c r="B13" s="3" t="s">
        <v>48</v>
      </c>
      <c r="C13" s="55"/>
      <c r="D13" s="55"/>
      <c r="E13" s="55"/>
      <c r="F13" s="55"/>
      <c r="G13" s="55"/>
      <c r="H13" s="36"/>
      <c r="I13" s="56">
        <f t="shared" si="1"/>
        <v>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15.75" customHeight="1">
      <c r="A14" s="54">
        <v>12.0</v>
      </c>
      <c r="B14" s="3" t="s">
        <v>49</v>
      </c>
      <c r="C14" s="58"/>
      <c r="D14" s="59"/>
      <c r="E14" s="59"/>
      <c r="F14" s="59"/>
      <c r="G14" s="59"/>
      <c r="H14" s="36"/>
      <c r="I14" s="56">
        <f t="shared" si="1"/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15.75" customHeight="1">
      <c r="A15" s="54">
        <v>13.0</v>
      </c>
      <c r="B15" s="3" t="s">
        <v>50</v>
      </c>
      <c r="C15" s="55"/>
      <c r="D15" s="55"/>
      <c r="E15" s="55"/>
      <c r="F15" s="55"/>
      <c r="G15" s="55"/>
      <c r="H15" s="36"/>
      <c r="I15" s="56">
        <f t="shared" si="1"/>
        <v>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15.75" customHeight="1">
      <c r="A16" s="54">
        <v>14.0</v>
      </c>
      <c r="B16" s="3" t="s">
        <v>51</v>
      </c>
      <c r="C16" s="55"/>
      <c r="D16" s="55"/>
      <c r="E16" s="55"/>
      <c r="F16" s="55"/>
      <c r="G16" s="55"/>
      <c r="H16" s="36"/>
      <c r="I16" s="56">
        <f t="shared" si="1"/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ht="15.75" customHeight="1">
      <c r="A17" s="54">
        <v>15.0</v>
      </c>
      <c r="B17" s="3" t="s">
        <v>96</v>
      </c>
      <c r="C17" s="58"/>
      <c r="D17" s="59"/>
      <c r="E17" s="59"/>
      <c r="F17" s="59"/>
      <c r="G17" s="59"/>
      <c r="H17" s="36"/>
      <c r="I17" s="56">
        <f t="shared" si="1"/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ht="15.75" customHeight="1">
      <c r="A18" s="54">
        <v>16.0</v>
      </c>
      <c r="B18" s="3" t="s">
        <v>53</v>
      </c>
      <c r="C18" s="58"/>
      <c r="D18" s="59"/>
      <c r="E18" s="59"/>
      <c r="F18" s="59"/>
      <c r="G18" s="59"/>
      <c r="H18" s="36"/>
      <c r="I18" s="56">
        <f t="shared" si="1"/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ht="15.75" customHeight="1">
      <c r="A19" s="54">
        <v>17.0</v>
      </c>
      <c r="B19" s="3" t="s">
        <v>54</v>
      </c>
      <c r="C19" s="55"/>
      <c r="D19" s="55"/>
      <c r="E19" s="55"/>
      <c r="F19" s="55"/>
      <c r="G19" s="55"/>
      <c r="H19" s="36"/>
      <c r="I19" s="56">
        <f t="shared" si="1"/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ht="15.75" customHeight="1">
      <c r="A20" s="54">
        <v>18.0</v>
      </c>
      <c r="B20" s="50" t="s">
        <v>97</v>
      </c>
      <c r="C20" s="58"/>
      <c r="D20" s="59"/>
      <c r="E20" s="59"/>
      <c r="F20" s="59"/>
      <c r="G20" s="59"/>
      <c r="H20" s="36"/>
      <c r="I20" s="56">
        <f t="shared" si="1"/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ht="15.75" customHeight="1">
      <c r="A21" s="54">
        <v>19.0</v>
      </c>
      <c r="B21" s="3" t="s">
        <v>56</v>
      </c>
      <c r="C21" s="55"/>
      <c r="D21" s="55"/>
      <c r="E21" s="55"/>
      <c r="F21" s="55"/>
      <c r="G21" s="55"/>
      <c r="H21" s="36"/>
      <c r="I21" s="56">
        <f t="shared" si="1"/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ht="15.75" customHeight="1">
      <c r="A22" s="3"/>
      <c r="B22" s="3"/>
      <c r="C22" s="36"/>
      <c r="D22" s="36"/>
      <c r="E22" s="36"/>
      <c r="F22" s="36"/>
      <c r="G22" s="36"/>
      <c r="H22" s="36"/>
      <c r="I22" s="5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ht="15.75" customHeight="1">
      <c r="A23" s="3"/>
      <c r="B23" s="3"/>
      <c r="C23" s="36"/>
      <c r="D23" s="36"/>
      <c r="E23" s="36"/>
      <c r="F23" s="36"/>
      <c r="G23" s="36"/>
      <c r="H23" s="36"/>
      <c r="I23" s="5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ht="15.75" customHeight="1">
      <c r="A24" s="3"/>
      <c r="B24" s="3"/>
      <c r="C24" s="36"/>
      <c r="D24" s="36"/>
      <c r="E24" s="36"/>
      <c r="F24" s="36"/>
      <c r="G24" s="36"/>
      <c r="H24" s="36"/>
      <c r="I24" s="5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ht="15.75" customHeight="1">
      <c r="A25" s="3"/>
      <c r="B25" s="3"/>
      <c r="C25" s="36"/>
      <c r="D25" s="36"/>
      <c r="E25" s="36"/>
      <c r="F25" s="36"/>
      <c r="G25" s="36"/>
      <c r="H25" s="36"/>
      <c r="I25" s="5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ht="15.75" customHeight="1">
      <c r="A26" s="3"/>
      <c r="B26" s="3" t="s">
        <v>57</v>
      </c>
      <c r="C26" s="36"/>
      <c r="D26" s="36"/>
      <c r="E26" s="36"/>
      <c r="F26" s="36"/>
      <c r="G26" s="36"/>
      <c r="H26" s="36"/>
      <c r="I26" s="5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ht="15.75" customHeight="1">
      <c r="A27" s="54">
        <v>1.0</v>
      </c>
      <c r="B27" s="3" t="s">
        <v>58</v>
      </c>
      <c r="C27" s="63"/>
      <c r="D27" s="63"/>
      <c r="E27" s="63"/>
      <c r="F27" s="63"/>
      <c r="G27" s="63"/>
      <c r="H27" s="36"/>
      <c r="I27" s="5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ht="15.75" customHeight="1">
      <c r="A28" s="54">
        <v>2.0</v>
      </c>
      <c r="B28" s="3" t="s">
        <v>59</v>
      </c>
      <c r="C28" s="63"/>
      <c r="D28" s="63"/>
      <c r="E28" s="63"/>
      <c r="F28" s="63"/>
      <c r="G28" s="63"/>
      <c r="H28" s="36"/>
      <c r="I28" s="5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ht="15.75" customHeight="1">
      <c r="A29" s="54">
        <v>3.0</v>
      </c>
      <c r="B29" s="3" t="s">
        <v>60</v>
      </c>
      <c r="C29" s="63"/>
      <c r="D29" s="63"/>
      <c r="E29" s="63"/>
      <c r="F29" s="63"/>
      <c r="G29" s="63"/>
      <c r="H29" s="36"/>
      <c r="I29" s="5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ht="15.75" customHeight="1">
      <c r="A30" s="54">
        <v>4.0</v>
      </c>
      <c r="B30" s="3" t="s">
        <v>61</v>
      </c>
      <c r="C30" s="63"/>
      <c r="D30" s="63"/>
      <c r="E30" s="63"/>
      <c r="F30" s="63"/>
      <c r="G30" s="63"/>
      <c r="H30" s="36"/>
      <c r="I30" s="5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ht="15.75" customHeight="1">
      <c r="A31" s="54">
        <v>5.0</v>
      </c>
      <c r="B31" s="3" t="s">
        <v>62</v>
      </c>
      <c r="C31" s="63"/>
      <c r="D31" s="63"/>
      <c r="E31" s="63"/>
      <c r="F31" s="63"/>
      <c r="G31" s="63"/>
      <c r="H31" s="36"/>
      <c r="I31" s="5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ht="15.75" customHeight="1">
      <c r="A32" s="54">
        <v>6.0</v>
      </c>
      <c r="B32" s="3" t="s">
        <v>63</v>
      </c>
      <c r="C32" s="63"/>
      <c r="D32" s="63"/>
      <c r="E32" s="63"/>
      <c r="F32" s="63"/>
      <c r="G32" s="63"/>
      <c r="H32" s="36"/>
      <c r="I32" s="5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ht="15.75" customHeight="1">
      <c r="A33" s="54">
        <v>7.0</v>
      </c>
      <c r="B33" s="3" t="s">
        <v>64</v>
      </c>
      <c r="C33" s="63"/>
      <c r="D33" s="63"/>
      <c r="E33" s="63"/>
      <c r="F33" s="63"/>
      <c r="G33" s="63"/>
      <c r="H33" s="36"/>
      <c r="I33" s="5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ht="15.75" customHeight="1">
      <c r="A34" s="54">
        <v>8.0</v>
      </c>
      <c r="B34" s="3" t="s">
        <v>65</v>
      </c>
      <c r="C34" s="63"/>
      <c r="D34" s="63"/>
      <c r="E34" s="63"/>
      <c r="F34" s="63"/>
      <c r="G34" s="63"/>
      <c r="H34" s="36"/>
      <c r="I34" s="5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ht="15.75" customHeight="1">
      <c r="A35" s="54">
        <v>9.0</v>
      </c>
      <c r="B35" s="3" t="s">
        <v>66</v>
      </c>
      <c r="C35" s="63"/>
      <c r="D35" s="63"/>
      <c r="E35" s="63"/>
      <c r="F35" s="63"/>
      <c r="G35" s="63"/>
      <c r="H35" s="36"/>
      <c r="I35" s="5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ht="15.75" customHeight="1">
      <c r="A36" s="54">
        <v>10.0</v>
      </c>
      <c r="B36" s="3" t="s">
        <v>67</v>
      </c>
      <c r="C36" s="63"/>
      <c r="D36" s="63"/>
      <c r="E36" s="63"/>
      <c r="F36" s="63"/>
      <c r="G36" s="63"/>
      <c r="H36" s="36"/>
      <c r="I36" s="5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ht="15.75" customHeight="1">
      <c r="A37" s="54">
        <v>11.0</v>
      </c>
      <c r="B37" s="3" t="s">
        <v>68</v>
      </c>
      <c r="C37" s="63"/>
      <c r="D37" s="63"/>
      <c r="E37" s="63"/>
      <c r="F37" s="63"/>
      <c r="G37" s="63"/>
      <c r="H37" s="36"/>
      <c r="I37" s="5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ht="15.75" customHeight="1">
      <c r="A38" s="54">
        <v>12.0</v>
      </c>
      <c r="B38" s="3" t="s">
        <v>69</v>
      </c>
      <c r="C38" s="63"/>
      <c r="D38" s="63"/>
      <c r="E38" s="63"/>
      <c r="F38" s="63"/>
      <c r="G38" s="63"/>
      <c r="H38" s="36"/>
      <c r="I38" s="5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ht="15.75" customHeight="1">
      <c r="A39" s="54">
        <v>13.0</v>
      </c>
      <c r="B39" s="3" t="s">
        <v>70</v>
      </c>
      <c r="C39" s="63"/>
      <c r="D39" s="63"/>
      <c r="E39" s="63"/>
      <c r="F39" s="63"/>
      <c r="G39" s="63"/>
      <c r="H39" s="36"/>
      <c r="I39" s="5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ht="15.75" customHeight="1">
      <c r="A40" s="54">
        <v>14.0</v>
      </c>
      <c r="B40" s="3" t="s">
        <v>71</v>
      </c>
      <c r="C40" s="63"/>
      <c r="D40" s="63"/>
      <c r="E40" s="63"/>
      <c r="F40" s="63"/>
      <c r="G40" s="63"/>
      <c r="H40" s="36"/>
      <c r="I40" s="5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ht="15.75" customHeight="1">
      <c r="A41" s="54">
        <v>15.0</v>
      </c>
      <c r="B41" s="3" t="s">
        <v>72</v>
      </c>
      <c r="C41" s="63"/>
      <c r="D41" s="63"/>
      <c r="E41" s="63"/>
      <c r="F41" s="63"/>
      <c r="G41" s="63"/>
      <c r="H41" s="36"/>
      <c r="I41" s="5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ht="15.75" customHeight="1">
      <c r="A42" s="54">
        <v>16.0</v>
      </c>
      <c r="B42" s="3" t="s">
        <v>73</v>
      </c>
      <c r="C42" s="36"/>
      <c r="D42" s="36"/>
      <c r="E42" s="36"/>
      <c r="F42" s="36"/>
      <c r="G42" s="36"/>
      <c r="H42" s="36"/>
      <c r="I42" s="5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ht="15.75" customHeight="1">
      <c r="A43" s="3"/>
      <c r="B43" s="3"/>
      <c r="C43" s="36"/>
      <c r="D43" s="36"/>
      <c r="E43" s="36"/>
      <c r="F43" s="36"/>
      <c r="G43" s="36"/>
      <c r="H43" s="36"/>
      <c r="I43" s="5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ht="15.75" customHeight="1">
      <c r="A44" s="3"/>
      <c r="B44" s="3"/>
      <c r="C44" s="36"/>
      <c r="D44" s="36"/>
      <c r="E44" s="36"/>
      <c r="F44" s="36"/>
      <c r="G44" s="36"/>
      <c r="H44" s="36"/>
      <c r="I44" s="5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ht="15.75" customHeight="1">
      <c r="A45" s="3"/>
      <c r="B45" s="3"/>
      <c r="C45" s="36"/>
      <c r="D45" s="36"/>
      <c r="E45" s="36"/>
      <c r="F45" s="36"/>
      <c r="G45" s="36"/>
      <c r="H45" s="36"/>
      <c r="I45" s="5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ht="15.75" customHeight="1">
      <c r="A46" s="3"/>
      <c r="B46" s="3" t="s">
        <v>74</v>
      </c>
      <c r="C46" s="36"/>
      <c r="D46" s="36"/>
      <c r="E46" s="36"/>
      <c r="F46" s="36"/>
      <c r="G46" s="36"/>
      <c r="H46" s="36"/>
      <c r="I46" s="5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ht="15.75" customHeight="1">
      <c r="A47" s="62">
        <v>1.0</v>
      </c>
      <c r="B47" s="75" t="s">
        <v>103</v>
      </c>
      <c r="C47" s="63"/>
      <c r="D47" s="63"/>
      <c r="E47" s="63"/>
      <c r="F47" s="63"/>
      <c r="G47" s="63"/>
      <c r="H47" s="36"/>
      <c r="I47" s="5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ht="15.75" customHeight="1">
      <c r="A48" s="62">
        <v>2.0</v>
      </c>
      <c r="B48" s="75" t="s">
        <v>104</v>
      </c>
      <c r="C48" s="63"/>
      <c r="D48" s="63"/>
      <c r="E48" s="63"/>
      <c r="F48" s="63"/>
      <c r="G48" s="63"/>
      <c r="H48" s="36"/>
      <c r="I48" s="5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ht="15.75" customHeight="1">
      <c r="A49" s="62">
        <v>3.0</v>
      </c>
      <c r="B49" s="75" t="s">
        <v>105</v>
      </c>
      <c r="C49" s="63"/>
      <c r="D49" s="63"/>
      <c r="E49" s="63"/>
      <c r="F49" s="63"/>
      <c r="G49" s="63"/>
      <c r="H49" s="36"/>
      <c r="I49" s="5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ht="15.75" customHeight="1">
      <c r="A50" s="62">
        <v>4.0</v>
      </c>
      <c r="B50" s="75" t="s">
        <v>106</v>
      </c>
      <c r="C50" s="63"/>
      <c r="D50" s="63"/>
      <c r="E50" s="63"/>
      <c r="F50" s="63"/>
      <c r="G50" s="63"/>
      <c r="H50" s="36"/>
      <c r="I50" s="5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ht="15.75" customHeight="1">
      <c r="A51" s="62">
        <v>5.0</v>
      </c>
      <c r="B51" s="75" t="s">
        <v>107</v>
      </c>
      <c r="C51" s="63"/>
      <c r="D51" s="63"/>
      <c r="E51" s="63"/>
      <c r="F51" s="63"/>
      <c r="G51" s="63"/>
      <c r="H51" s="36"/>
      <c r="I51" s="5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ht="15.75" customHeight="1">
      <c r="A52" s="62">
        <v>6.0</v>
      </c>
      <c r="B52" s="75" t="s">
        <v>108</v>
      </c>
      <c r="C52" s="63"/>
      <c r="D52" s="63"/>
      <c r="E52" s="63"/>
      <c r="F52" s="63"/>
      <c r="G52" s="63"/>
      <c r="H52" s="36"/>
      <c r="I52" s="5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ht="15.75" customHeight="1">
      <c r="A53" s="62">
        <v>7.0</v>
      </c>
      <c r="B53" s="75" t="s">
        <v>109</v>
      </c>
      <c r="C53" s="63"/>
      <c r="D53" s="63"/>
      <c r="E53" s="63"/>
      <c r="F53" s="63"/>
      <c r="G53" s="63"/>
      <c r="H53" s="36"/>
      <c r="I53" s="5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ht="15.75" customHeight="1">
      <c r="A54" s="62">
        <v>8.0</v>
      </c>
      <c r="B54" s="75" t="s">
        <v>110</v>
      </c>
      <c r="C54" s="63"/>
      <c r="D54" s="63"/>
      <c r="E54" s="63"/>
      <c r="F54" s="63"/>
      <c r="G54" s="63"/>
      <c r="H54" s="36"/>
      <c r="I54" s="5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ht="15.75" customHeight="1">
      <c r="A55" s="62">
        <v>9.0</v>
      </c>
      <c r="B55" s="75" t="s">
        <v>111</v>
      </c>
      <c r="C55" s="63"/>
      <c r="D55" s="63"/>
      <c r="E55" s="63"/>
      <c r="F55" s="63"/>
      <c r="G55" s="63"/>
      <c r="H55" s="36"/>
      <c r="I55" s="5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ht="15.75" customHeight="1">
      <c r="A56" s="62">
        <v>10.0</v>
      </c>
      <c r="B56" s="75" t="s">
        <v>112</v>
      </c>
      <c r="C56" s="63"/>
      <c r="D56" s="63"/>
      <c r="E56" s="63"/>
      <c r="F56" s="63"/>
      <c r="G56" s="63"/>
      <c r="H56" s="36"/>
      <c r="I56" s="5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ht="15.75" customHeight="1">
      <c r="A57" s="62">
        <v>11.0</v>
      </c>
      <c r="B57" s="75" t="s">
        <v>113</v>
      </c>
      <c r="C57" s="63"/>
      <c r="D57" s="63"/>
      <c r="E57" s="63"/>
      <c r="F57" s="63"/>
      <c r="G57" s="63"/>
      <c r="H57" s="36"/>
      <c r="I57" s="5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ht="15.75" customHeight="1">
      <c r="A58" s="62">
        <v>12.0</v>
      </c>
      <c r="B58" s="75" t="s">
        <v>114</v>
      </c>
      <c r="C58" s="63"/>
      <c r="D58" s="63"/>
      <c r="E58" s="63"/>
      <c r="F58" s="63"/>
      <c r="G58" s="63"/>
      <c r="H58" s="36"/>
      <c r="I58" s="5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ht="15.75" customHeight="1">
      <c r="A59" s="62">
        <v>13.0</v>
      </c>
      <c r="B59" s="75" t="s">
        <v>115</v>
      </c>
      <c r="C59" s="86"/>
      <c r="D59" s="86"/>
      <c r="E59" s="86"/>
      <c r="F59" s="86"/>
      <c r="G59" s="86"/>
      <c r="H59" s="36"/>
      <c r="I59" s="5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ht="15.75" customHeight="1">
      <c r="A60" s="50">
        <v>14.0</v>
      </c>
      <c r="B60" s="75" t="s">
        <v>116</v>
      </c>
      <c r="C60" s="73"/>
      <c r="D60" s="73"/>
      <c r="E60" s="73"/>
      <c r="F60" s="73"/>
      <c r="G60" s="73"/>
      <c r="H60" s="36"/>
      <c r="I60" s="5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ht="15.75" customHeight="1">
      <c r="A61" s="3"/>
      <c r="B61" s="3"/>
      <c r="C61" s="36"/>
      <c r="D61" s="36"/>
      <c r="E61" s="36"/>
      <c r="F61" s="36"/>
      <c r="G61" s="36"/>
      <c r="H61" s="36"/>
      <c r="I61" s="5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ht="15.75" customHeight="1">
      <c r="A62" s="3"/>
      <c r="B62" s="3"/>
      <c r="C62" s="36"/>
      <c r="D62" s="36"/>
      <c r="E62" s="36"/>
      <c r="F62" s="36"/>
      <c r="G62" s="36"/>
      <c r="H62" s="36"/>
      <c r="I62" s="5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ht="15.75" customHeight="1">
      <c r="A63" s="3"/>
      <c r="B63" s="3"/>
      <c r="C63" s="36"/>
      <c r="D63" s="36"/>
      <c r="E63" s="36"/>
      <c r="F63" s="36"/>
      <c r="G63" s="36"/>
      <c r="H63" s="36"/>
      <c r="I63" s="36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ht="15.75" customHeight="1">
      <c r="A64" s="3"/>
      <c r="B64" s="3" t="s">
        <v>87</v>
      </c>
      <c r="C64" s="36"/>
      <c r="D64" s="36"/>
      <c r="E64" s="36"/>
      <c r="F64" s="36"/>
      <c r="G64" s="36"/>
      <c r="H64" s="36"/>
      <c r="I64" s="5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ht="15.75" customHeight="1">
      <c r="A66" s="50"/>
      <c r="B66" s="50"/>
      <c r="C66" s="76"/>
      <c r="D66" s="76"/>
      <c r="E66" s="76"/>
      <c r="F66" s="76"/>
      <c r="G66" s="76"/>
      <c r="H66" s="67"/>
      <c r="I66" s="56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ht="15.75" customHeight="1">
      <c r="A67" s="3"/>
      <c r="B67" s="3"/>
      <c r="C67" s="36"/>
      <c r="D67" s="36"/>
      <c r="E67" s="36"/>
      <c r="F67" s="36"/>
      <c r="G67" s="36"/>
      <c r="H67" s="36"/>
      <c r="I67" s="56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5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ht="15.75" customHeight="1">
      <c r="A69" s="3"/>
      <c r="B69" s="3"/>
      <c r="C69" s="36"/>
      <c r="D69" s="36"/>
      <c r="E69" s="36"/>
      <c r="F69" s="36"/>
      <c r="G69" s="36"/>
      <c r="H69" s="36"/>
      <c r="I69" s="5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ht="15.75" customHeight="1">
      <c r="A70" s="3"/>
      <c r="B70" s="3"/>
      <c r="C70" s="36"/>
      <c r="D70" s="36"/>
      <c r="E70" s="36"/>
      <c r="F70" s="36"/>
      <c r="G70" s="36"/>
      <c r="H70" s="36"/>
      <c r="I70" s="5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ht="15.75" customHeight="1">
      <c r="A71" s="3"/>
      <c r="B71" s="3"/>
      <c r="C71" s="36"/>
      <c r="D71" s="36"/>
      <c r="E71" s="36"/>
      <c r="F71" s="36"/>
      <c r="G71" s="36"/>
      <c r="H71" s="36"/>
      <c r="I71" s="5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ht="15.75" customHeight="1">
      <c r="A72" s="3"/>
      <c r="B72" s="3"/>
      <c r="C72" s="36"/>
      <c r="D72" s="36"/>
      <c r="E72" s="36"/>
      <c r="F72" s="36"/>
      <c r="G72" s="36"/>
      <c r="H72" s="36"/>
      <c r="I72" s="5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ht="15.75" customHeight="1">
      <c r="A73" s="3"/>
      <c r="B73" s="3"/>
      <c r="C73" s="36"/>
      <c r="D73" s="36"/>
      <c r="E73" s="36"/>
      <c r="F73" s="36"/>
      <c r="G73" s="36"/>
      <c r="H73" s="36"/>
      <c r="I73" s="5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ht="15.75" customHeight="1">
      <c r="A74" s="3"/>
      <c r="B74" s="3"/>
      <c r="C74" s="36"/>
      <c r="D74" s="36"/>
      <c r="E74" s="36"/>
      <c r="F74" s="36"/>
      <c r="G74" s="36"/>
      <c r="H74" s="36"/>
      <c r="I74" s="5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ht="15.75" customHeight="1">
      <c r="A75" s="3"/>
      <c r="B75" s="3"/>
      <c r="C75" s="36"/>
      <c r="D75" s="36"/>
      <c r="E75" s="36"/>
      <c r="F75" s="36"/>
      <c r="G75" s="36"/>
      <c r="H75" s="36"/>
      <c r="I75" s="5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ht="15.75" customHeight="1">
      <c r="A76" s="69">
        <v>1.0</v>
      </c>
      <c r="B76" s="3" t="s">
        <v>90</v>
      </c>
      <c r="C76" s="35">
        <f t="shared" ref="C76:G76" si="2">SUM(C3:C24)</f>
        <v>0</v>
      </c>
      <c r="D76" s="35">
        <f t="shared" si="2"/>
        <v>0</v>
      </c>
      <c r="E76" s="35">
        <f t="shared" si="2"/>
        <v>0</v>
      </c>
      <c r="F76" s="35">
        <f t="shared" si="2"/>
        <v>0</v>
      </c>
      <c r="G76" s="35">
        <f t="shared" si="2"/>
        <v>0</v>
      </c>
      <c r="H76" s="35">
        <f t="shared" ref="H76:H78" si="4">SUM(C76:G76)</f>
        <v>0</v>
      </c>
      <c r="I76" s="56">
        <f>SUM(C76:F76)</f>
        <v>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ht="15.75" customHeight="1">
      <c r="A77" s="69">
        <v>2.0</v>
      </c>
      <c r="B77" s="3" t="s">
        <v>91</v>
      </c>
      <c r="C77" s="70">
        <f t="shared" ref="C77:G77" si="3">SuM(C27:C44)</f>
        <v>0</v>
      </c>
      <c r="D77" s="70">
        <f t="shared" si="3"/>
        <v>0</v>
      </c>
      <c r="E77" s="70">
        <f t="shared" si="3"/>
        <v>0</v>
      </c>
      <c r="F77" s="70">
        <f t="shared" si="3"/>
        <v>0</v>
      </c>
      <c r="G77" s="70">
        <f t="shared" si="3"/>
        <v>0</v>
      </c>
      <c r="H77" s="35">
        <f t="shared" si="4"/>
        <v>0</v>
      </c>
      <c r="I77" s="68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ht="15.75" customHeight="1">
      <c r="A78" s="69">
        <v>3.0</v>
      </c>
      <c r="B78" s="3" t="s">
        <v>92</v>
      </c>
      <c r="C78" s="35">
        <f t="shared" ref="C78:G78" si="5">SUM(C47:C62)</f>
        <v>0</v>
      </c>
      <c r="D78" s="35">
        <f t="shared" si="5"/>
        <v>0</v>
      </c>
      <c r="E78" s="35">
        <f t="shared" si="5"/>
        <v>0</v>
      </c>
      <c r="F78" s="35">
        <f t="shared" si="5"/>
        <v>0</v>
      </c>
      <c r="G78" s="35">
        <f t="shared" si="5"/>
        <v>0</v>
      </c>
      <c r="H78" s="35">
        <f t="shared" si="4"/>
        <v>0</v>
      </c>
      <c r="I78" s="56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ht="15.75" customHeight="1">
      <c r="A79" s="69">
        <v>4.0</v>
      </c>
      <c r="B79" s="3" t="s">
        <v>93</v>
      </c>
      <c r="C79" s="70">
        <f>Agu!C33</f>
        <v>2039500</v>
      </c>
      <c r="D79" s="70">
        <f>Agu!C34</f>
        <v>1607000</v>
      </c>
      <c r="E79" s="70">
        <f>Agu!C35</f>
        <v>741000</v>
      </c>
      <c r="F79" s="70">
        <f>Agu!C36</f>
        <v>1030000</v>
      </c>
      <c r="G79" s="70">
        <f>Agu!C37</f>
        <v>4028500</v>
      </c>
      <c r="H79" s="74">
        <f>Agu!C38</f>
        <v>9446000</v>
      </c>
      <c r="I79" s="68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ht="15.75" customHeight="1">
      <c r="A80" s="3"/>
      <c r="B80" s="72" t="s">
        <v>94</v>
      </c>
      <c r="C80" s="66">
        <f t="shared" ref="C80:G80" si="6">SUM(C65:C79)</f>
        <v>2039500</v>
      </c>
      <c r="D80" s="66">
        <f t="shared" si="6"/>
        <v>1607000</v>
      </c>
      <c r="E80" s="66">
        <f t="shared" si="6"/>
        <v>741000</v>
      </c>
      <c r="F80" s="66">
        <f t="shared" si="6"/>
        <v>1030000</v>
      </c>
      <c r="G80" s="66">
        <f t="shared" si="6"/>
        <v>4028500</v>
      </c>
      <c r="H80" s="66">
        <f>SUM(C80:G80)</f>
        <v>9446000</v>
      </c>
      <c r="I80" s="68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51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51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ht="15.75" customHeight="1">
      <c r="A83" s="3"/>
      <c r="B83" s="70"/>
      <c r="C83" s="70"/>
      <c r="D83" s="70"/>
      <c r="E83" s="70"/>
      <c r="F83" s="70"/>
      <c r="G83" s="70"/>
      <c r="H83" s="70"/>
      <c r="I83" s="51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ht="15.75" customHeight="1">
      <c r="A84" s="3"/>
      <c r="B84" s="3"/>
      <c r="C84" s="70"/>
      <c r="D84" s="3"/>
      <c r="E84" s="3"/>
      <c r="F84" s="3"/>
      <c r="G84" s="3"/>
      <c r="H84" s="3"/>
      <c r="I84" s="51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51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ht="15.75" customHeight="1">
      <c r="A86" s="3"/>
      <c r="B86" s="3"/>
      <c r="C86" s="23"/>
      <c r="D86" s="3"/>
      <c r="E86" s="3"/>
      <c r="F86" s="3"/>
      <c r="G86" s="3"/>
      <c r="H86" s="3"/>
      <c r="I86" s="51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51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51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51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51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51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51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51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51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51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51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51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51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51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51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51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51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51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51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51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51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51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51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51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51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51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51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51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51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51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51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51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51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51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51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51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51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51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51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51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51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51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51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51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51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51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51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51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51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51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51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51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51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51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51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51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51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51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51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51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51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51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51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51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51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51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51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51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51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51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51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51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51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51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51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51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51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51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51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51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51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51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51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51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51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51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51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51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51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51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51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51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51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51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51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51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51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51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51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51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51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51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51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51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51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51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51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51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51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51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51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51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51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51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51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51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51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51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51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51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51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51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51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51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51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51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51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51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51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51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51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51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51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51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51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51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51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51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51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51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51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51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51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51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51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51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51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51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51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51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51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51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51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51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51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51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51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51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51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51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51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51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51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51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51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51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51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51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51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51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51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51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51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51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51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51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51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51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51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51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51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51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51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51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51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51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51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51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51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51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51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51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51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51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51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88"/>
    <col customWidth="1" min="2" max="2" width="23.13"/>
    <col customWidth="1" min="3" max="6" width="12.63"/>
  </cols>
  <sheetData>
    <row r="1" ht="15.75" customHeight="1">
      <c r="A1" s="3"/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50" t="s">
        <v>95</v>
      </c>
      <c r="H1" s="3" t="s">
        <v>17</v>
      </c>
      <c r="I1" s="51" t="s">
        <v>36</v>
      </c>
      <c r="J1" s="3"/>
      <c r="K1" s="3"/>
      <c r="L1" s="3"/>
      <c r="M1" s="3"/>
      <c r="N1" s="3"/>
      <c r="O1" s="5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15.75" customHeight="1">
      <c r="A2" s="3"/>
      <c r="B2" s="3" t="s">
        <v>37</v>
      </c>
      <c r="C2" s="36"/>
      <c r="D2" s="36"/>
      <c r="E2" s="36"/>
      <c r="F2" s="36"/>
      <c r="G2" s="36"/>
      <c r="H2" s="36"/>
      <c r="I2" s="5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15.75" customHeight="1">
      <c r="A3" s="54">
        <v>1.0</v>
      </c>
      <c r="B3" s="3" t="s">
        <v>38</v>
      </c>
      <c r="C3" s="55"/>
      <c r="D3" s="55"/>
      <c r="E3" s="55"/>
      <c r="F3" s="55"/>
      <c r="G3" s="55"/>
      <c r="H3" s="36"/>
      <c r="I3" s="56">
        <f t="shared" ref="I3:I21" si="1">SUM(C3:F3)</f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15.75" customHeight="1">
      <c r="A4" s="54">
        <v>2.0</v>
      </c>
      <c r="B4" s="3" t="s">
        <v>39</v>
      </c>
      <c r="C4" s="55"/>
      <c r="D4" s="55"/>
      <c r="E4" s="55"/>
      <c r="F4" s="55"/>
      <c r="G4" s="55"/>
      <c r="H4" s="36"/>
      <c r="I4" s="56">
        <f t="shared" si="1"/>
        <v>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ht="15.75" customHeight="1">
      <c r="A5" s="54">
        <v>3.0</v>
      </c>
      <c r="B5" s="3" t="s">
        <v>40</v>
      </c>
      <c r="C5" s="55"/>
      <c r="D5" s="55"/>
      <c r="E5" s="55"/>
      <c r="F5" s="55"/>
      <c r="G5" s="55"/>
      <c r="H5" s="36"/>
      <c r="I5" s="56">
        <f t="shared" si="1"/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15.75" customHeight="1">
      <c r="A6" s="54">
        <v>4.0</v>
      </c>
      <c r="B6" s="3" t="s">
        <v>41</v>
      </c>
      <c r="C6" s="55"/>
      <c r="D6" s="55"/>
      <c r="E6" s="55"/>
      <c r="F6" s="55"/>
      <c r="G6" s="55"/>
      <c r="H6" s="36"/>
      <c r="I6" s="56">
        <f t="shared" si="1"/>
        <v>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ht="15.75" customHeight="1">
      <c r="A7" s="54">
        <v>5.0</v>
      </c>
      <c r="B7" s="3" t="s">
        <v>42</v>
      </c>
      <c r="C7" s="55"/>
      <c r="D7" s="55"/>
      <c r="E7" s="55"/>
      <c r="F7" s="55"/>
      <c r="G7" s="55"/>
      <c r="H7" s="36"/>
      <c r="I7" s="56">
        <f t="shared" si="1"/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ht="15.75" customHeight="1">
      <c r="A8" s="54">
        <v>6.0</v>
      </c>
      <c r="B8" s="3" t="s">
        <v>43</v>
      </c>
      <c r="C8" s="59"/>
      <c r="D8" s="59"/>
      <c r="E8" s="59"/>
      <c r="F8" s="59"/>
      <c r="G8" s="59"/>
      <c r="H8" s="36"/>
      <c r="I8" s="56">
        <f t="shared" si="1"/>
        <v>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15.75" customHeight="1">
      <c r="A9" s="54">
        <v>7.0</v>
      </c>
      <c r="B9" s="3" t="s">
        <v>44</v>
      </c>
      <c r="C9" s="55"/>
      <c r="D9" s="55"/>
      <c r="E9" s="55"/>
      <c r="F9" s="55"/>
      <c r="G9" s="55"/>
      <c r="H9" s="36"/>
      <c r="I9" s="56">
        <f t="shared" si="1"/>
        <v>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57"/>
      <c r="Z9" s="3"/>
      <c r="AA9" s="3"/>
      <c r="AB9" s="3"/>
      <c r="AC9" s="3"/>
    </row>
    <row r="10" ht="15.75" customHeight="1">
      <c r="A10" s="54">
        <v>8.0</v>
      </c>
      <c r="B10" s="3" t="s">
        <v>45</v>
      </c>
      <c r="C10" s="55"/>
      <c r="D10" s="55"/>
      <c r="E10" s="55"/>
      <c r="F10" s="55"/>
      <c r="G10" s="55"/>
      <c r="H10" s="36"/>
      <c r="I10" s="56">
        <f t="shared" si="1"/>
        <v>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15.75" customHeight="1">
      <c r="A11" s="54">
        <v>9.0</v>
      </c>
      <c r="B11" s="3" t="s">
        <v>46</v>
      </c>
      <c r="C11" s="55"/>
      <c r="D11" s="55"/>
      <c r="E11" s="55"/>
      <c r="F11" s="55"/>
      <c r="G11" s="55"/>
      <c r="H11" s="36"/>
      <c r="I11" s="56">
        <f t="shared" si="1"/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15.75" customHeight="1">
      <c r="A12" s="54">
        <v>10.0</v>
      </c>
      <c r="B12" s="3" t="s">
        <v>47</v>
      </c>
      <c r="C12" s="55"/>
      <c r="D12" s="55"/>
      <c r="E12" s="55"/>
      <c r="F12" s="55"/>
      <c r="G12" s="55"/>
      <c r="H12" s="36"/>
      <c r="I12" s="56">
        <f t="shared" si="1"/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ht="15.75" customHeight="1">
      <c r="A13" s="54">
        <v>11.0</v>
      </c>
      <c r="B13" s="3" t="s">
        <v>48</v>
      </c>
      <c r="C13" s="55"/>
      <c r="D13" s="55"/>
      <c r="E13" s="55"/>
      <c r="F13" s="55"/>
      <c r="G13" s="55"/>
      <c r="H13" s="36"/>
      <c r="I13" s="56">
        <f t="shared" si="1"/>
        <v>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15.75" customHeight="1">
      <c r="A14" s="54">
        <v>12.0</v>
      </c>
      <c r="B14" s="3" t="s">
        <v>49</v>
      </c>
      <c r="C14" s="58"/>
      <c r="D14" s="59"/>
      <c r="E14" s="59"/>
      <c r="F14" s="59"/>
      <c r="G14" s="59"/>
      <c r="H14" s="36"/>
      <c r="I14" s="56">
        <f t="shared" si="1"/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15.75" customHeight="1">
      <c r="A15" s="54">
        <v>13.0</v>
      </c>
      <c r="B15" s="3" t="s">
        <v>50</v>
      </c>
      <c r="C15" s="55"/>
      <c r="D15" s="55"/>
      <c r="E15" s="55"/>
      <c r="F15" s="55"/>
      <c r="G15" s="55"/>
      <c r="H15" s="36"/>
      <c r="I15" s="56">
        <f t="shared" si="1"/>
        <v>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15.75" customHeight="1">
      <c r="A16" s="54">
        <v>14.0</v>
      </c>
      <c r="B16" s="3" t="s">
        <v>51</v>
      </c>
      <c r="C16" s="55"/>
      <c r="D16" s="55"/>
      <c r="E16" s="55"/>
      <c r="F16" s="55"/>
      <c r="G16" s="55"/>
      <c r="H16" s="36"/>
      <c r="I16" s="56">
        <f t="shared" si="1"/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ht="15.75" customHeight="1">
      <c r="A17" s="54">
        <v>15.0</v>
      </c>
      <c r="B17" s="3" t="s">
        <v>96</v>
      </c>
      <c r="C17" s="58"/>
      <c r="D17" s="59"/>
      <c r="E17" s="59"/>
      <c r="F17" s="59"/>
      <c r="G17" s="59"/>
      <c r="H17" s="36"/>
      <c r="I17" s="56">
        <f t="shared" si="1"/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ht="15.75" customHeight="1">
      <c r="A18" s="54">
        <v>16.0</v>
      </c>
      <c r="B18" s="3" t="s">
        <v>53</v>
      </c>
      <c r="C18" s="58"/>
      <c r="D18" s="59"/>
      <c r="E18" s="59"/>
      <c r="F18" s="59"/>
      <c r="G18" s="59"/>
      <c r="H18" s="36"/>
      <c r="I18" s="56">
        <f t="shared" si="1"/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ht="15.75" customHeight="1">
      <c r="A19" s="54">
        <v>17.0</v>
      </c>
      <c r="B19" s="3" t="s">
        <v>54</v>
      </c>
      <c r="C19" s="55"/>
      <c r="D19" s="55"/>
      <c r="E19" s="55"/>
      <c r="F19" s="55"/>
      <c r="G19" s="55"/>
      <c r="H19" s="36"/>
      <c r="I19" s="56">
        <f t="shared" si="1"/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ht="15.75" customHeight="1">
      <c r="A20" s="54">
        <v>18.0</v>
      </c>
      <c r="B20" s="50" t="s">
        <v>97</v>
      </c>
      <c r="C20" s="58"/>
      <c r="D20" s="59"/>
      <c r="E20" s="59"/>
      <c r="F20" s="59"/>
      <c r="G20" s="59"/>
      <c r="H20" s="36"/>
      <c r="I20" s="56">
        <f t="shared" si="1"/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ht="15.75" customHeight="1">
      <c r="A21" s="54">
        <v>19.0</v>
      </c>
      <c r="B21" s="3" t="s">
        <v>56</v>
      </c>
      <c r="C21" s="55"/>
      <c r="D21" s="55"/>
      <c r="E21" s="55"/>
      <c r="F21" s="55"/>
      <c r="G21" s="55"/>
      <c r="H21" s="36"/>
      <c r="I21" s="56">
        <f t="shared" si="1"/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ht="15.75" customHeight="1">
      <c r="A22" s="3"/>
      <c r="B22" s="3"/>
      <c r="C22" s="36"/>
      <c r="D22" s="36"/>
      <c r="E22" s="36"/>
      <c r="F22" s="36"/>
      <c r="G22" s="36"/>
      <c r="H22" s="36"/>
      <c r="I22" s="5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ht="15.75" customHeight="1">
      <c r="A23" s="3"/>
      <c r="B23" s="3"/>
      <c r="C23" s="36"/>
      <c r="D23" s="36"/>
      <c r="E23" s="36"/>
      <c r="F23" s="36"/>
      <c r="G23" s="36"/>
      <c r="H23" s="36"/>
      <c r="I23" s="5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ht="15.75" customHeight="1">
      <c r="A24" s="3"/>
      <c r="B24" s="3"/>
      <c r="C24" s="36"/>
      <c r="D24" s="36"/>
      <c r="E24" s="36"/>
      <c r="F24" s="36"/>
      <c r="G24" s="36"/>
      <c r="H24" s="36"/>
      <c r="I24" s="5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ht="15.75" customHeight="1">
      <c r="A25" s="3"/>
      <c r="B25" s="3"/>
      <c r="C25" s="36"/>
      <c r="D25" s="36"/>
      <c r="E25" s="36"/>
      <c r="F25" s="36"/>
      <c r="G25" s="36"/>
      <c r="H25" s="36"/>
      <c r="I25" s="5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ht="15.75" customHeight="1">
      <c r="A26" s="3"/>
      <c r="B26" s="3" t="s">
        <v>57</v>
      </c>
      <c r="C26" s="36"/>
      <c r="D26" s="36"/>
      <c r="E26" s="36"/>
      <c r="F26" s="36"/>
      <c r="G26" s="36"/>
      <c r="H26" s="36"/>
      <c r="I26" s="5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ht="15.75" customHeight="1">
      <c r="A27" s="54">
        <v>1.0</v>
      </c>
      <c r="B27" s="3" t="s">
        <v>58</v>
      </c>
      <c r="C27" s="63"/>
      <c r="D27" s="63"/>
      <c r="E27" s="63"/>
      <c r="F27" s="63"/>
      <c r="G27" s="63"/>
      <c r="H27" s="36"/>
      <c r="I27" s="5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ht="15.75" customHeight="1">
      <c r="A28" s="54">
        <v>2.0</v>
      </c>
      <c r="B28" s="3" t="s">
        <v>59</v>
      </c>
      <c r="C28" s="63"/>
      <c r="D28" s="63"/>
      <c r="E28" s="63"/>
      <c r="F28" s="63"/>
      <c r="G28" s="63"/>
      <c r="H28" s="36"/>
      <c r="I28" s="5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ht="15.75" customHeight="1">
      <c r="A29" s="54">
        <v>3.0</v>
      </c>
      <c r="B29" s="3" t="s">
        <v>60</v>
      </c>
      <c r="C29" s="63"/>
      <c r="D29" s="63"/>
      <c r="E29" s="63"/>
      <c r="F29" s="63"/>
      <c r="G29" s="63"/>
      <c r="H29" s="36"/>
      <c r="I29" s="5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ht="15.75" customHeight="1">
      <c r="A30" s="54">
        <v>4.0</v>
      </c>
      <c r="B30" s="3" t="s">
        <v>61</v>
      </c>
      <c r="C30" s="63"/>
      <c r="D30" s="63"/>
      <c r="E30" s="63"/>
      <c r="F30" s="63"/>
      <c r="G30" s="63"/>
      <c r="H30" s="36"/>
      <c r="I30" s="5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ht="15.75" customHeight="1">
      <c r="A31" s="54">
        <v>5.0</v>
      </c>
      <c r="B31" s="3" t="s">
        <v>62</v>
      </c>
      <c r="C31" s="63"/>
      <c r="D31" s="63"/>
      <c r="E31" s="63"/>
      <c r="F31" s="63"/>
      <c r="G31" s="63"/>
      <c r="H31" s="36"/>
      <c r="I31" s="5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ht="15.75" customHeight="1">
      <c r="A32" s="54">
        <v>6.0</v>
      </c>
      <c r="B32" s="3" t="s">
        <v>63</v>
      </c>
      <c r="C32" s="63"/>
      <c r="D32" s="63"/>
      <c r="E32" s="63"/>
      <c r="F32" s="63"/>
      <c r="G32" s="63"/>
      <c r="H32" s="36"/>
      <c r="I32" s="5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ht="15.75" customHeight="1">
      <c r="A33" s="54">
        <v>7.0</v>
      </c>
      <c r="B33" s="3" t="s">
        <v>64</v>
      </c>
      <c r="C33" s="63"/>
      <c r="D33" s="63"/>
      <c r="E33" s="63"/>
      <c r="F33" s="63"/>
      <c r="G33" s="63"/>
      <c r="H33" s="36"/>
      <c r="I33" s="5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ht="15.75" customHeight="1">
      <c r="A34" s="54">
        <v>8.0</v>
      </c>
      <c r="B34" s="3" t="s">
        <v>65</v>
      </c>
      <c r="C34" s="63"/>
      <c r="D34" s="63"/>
      <c r="E34" s="63"/>
      <c r="F34" s="63"/>
      <c r="G34" s="63"/>
      <c r="H34" s="36"/>
      <c r="I34" s="5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ht="15.75" customHeight="1">
      <c r="A35" s="54">
        <v>9.0</v>
      </c>
      <c r="B35" s="3" t="s">
        <v>66</v>
      </c>
      <c r="C35" s="63"/>
      <c r="D35" s="63"/>
      <c r="E35" s="63"/>
      <c r="F35" s="63"/>
      <c r="G35" s="63"/>
      <c r="H35" s="36"/>
      <c r="I35" s="5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ht="15.75" customHeight="1">
      <c r="A36" s="54">
        <v>10.0</v>
      </c>
      <c r="B36" s="3" t="s">
        <v>67</v>
      </c>
      <c r="C36" s="63"/>
      <c r="D36" s="63"/>
      <c r="E36" s="63"/>
      <c r="F36" s="63"/>
      <c r="G36" s="63"/>
      <c r="H36" s="36"/>
      <c r="I36" s="5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ht="15.75" customHeight="1">
      <c r="A37" s="54">
        <v>11.0</v>
      </c>
      <c r="B37" s="3" t="s">
        <v>68</v>
      </c>
      <c r="C37" s="63"/>
      <c r="D37" s="63"/>
      <c r="E37" s="63"/>
      <c r="F37" s="63"/>
      <c r="G37" s="63"/>
      <c r="H37" s="36"/>
      <c r="I37" s="5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ht="15.75" customHeight="1">
      <c r="A38" s="54">
        <v>12.0</v>
      </c>
      <c r="B38" s="3" t="s">
        <v>69</v>
      </c>
      <c r="C38" s="63"/>
      <c r="D38" s="63"/>
      <c r="E38" s="63"/>
      <c r="F38" s="63"/>
      <c r="G38" s="63"/>
      <c r="H38" s="36"/>
      <c r="I38" s="5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ht="15.75" customHeight="1">
      <c r="A39" s="54">
        <v>13.0</v>
      </c>
      <c r="B39" s="3" t="s">
        <v>70</v>
      </c>
      <c r="C39" s="63"/>
      <c r="D39" s="63"/>
      <c r="E39" s="63"/>
      <c r="F39" s="63"/>
      <c r="G39" s="63"/>
      <c r="H39" s="36"/>
      <c r="I39" s="5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ht="15.75" customHeight="1">
      <c r="A40" s="54">
        <v>14.0</v>
      </c>
      <c r="B40" s="3" t="s">
        <v>71</v>
      </c>
      <c r="C40" s="63"/>
      <c r="D40" s="63"/>
      <c r="E40" s="63"/>
      <c r="F40" s="63"/>
      <c r="G40" s="63"/>
      <c r="H40" s="36"/>
      <c r="I40" s="5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ht="15.75" customHeight="1">
      <c r="A41" s="54">
        <v>15.0</v>
      </c>
      <c r="B41" s="3" t="s">
        <v>72</v>
      </c>
      <c r="C41" s="63"/>
      <c r="D41" s="63"/>
      <c r="E41" s="63"/>
      <c r="F41" s="63"/>
      <c r="G41" s="63"/>
      <c r="H41" s="36"/>
      <c r="I41" s="5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ht="15.75" customHeight="1">
      <c r="A42" s="54">
        <v>16.0</v>
      </c>
      <c r="B42" s="3" t="s">
        <v>73</v>
      </c>
      <c r="C42" s="36"/>
      <c r="D42" s="36"/>
      <c r="E42" s="36"/>
      <c r="F42" s="36"/>
      <c r="G42" s="36"/>
      <c r="H42" s="36"/>
      <c r="I42" s="5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ht="15.75" customHeight="1">
      <c r="A43" s="3"/>
      <c r="B43" s="3"/>
      <c r="C43" s="36"/>
      <c r="D43" s="36"/>
      <c r="E43" s="36"/>
      <c r="F43" s="36"/>
      <c r="G43" s="36"/>
      <c r="H43" s="36"/>
      <c r="I43" s="5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ht="15.75" customHeight="1">
      <c r="A44" s="3"/>
      <c r="B44" s="3"/>
      <c r="C44" s="36"/>
      <c r="D44" s="36"/>
      <c r="E44" s="36"/>
      <c r="F44" s="36"/>
      <c r="G44" s="36"/>
      <c r="H44" s="36"/>
      <c r="I44" s="5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ht="15.75" customHeight="1">
      <c r="A45" s="3"/>
      <c r="B45" s="3"/>
      <c r="C45" s="36"/>
      <c r="D45" s="36"/>
      <c r="E45" s="36"/>
      <c r="F45" s="36"/>
      <c r="G45" s="36"/>
      <c r="H45" s="36"/>
      <c r="I45" s="5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ht="15.75" customHeight="1">
      <c r="A46" s="3"/>
      <c r="B46" s="3" t="s">
        <v>74</v>
      </c>
      <c r="C46" s="36"/>
      <c r="D46" s="36"/>
      <c r="E46" s="36"/>
      <c r="F46" s="36"/>
      <c r="G46" s="36"/>
      <c r="H46" s="36"/>
      <c r="I46" s="5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ht="15.75" customHeight="1">
      <c r="A47" s="62">
        <v>1.0</v>
      </c>
      <c r="B47" s="75" t="s">
        <v>103</v>
      </c>
      <c r="C47" s="63"/>
      <c r="D47" s="63"/>
      <c r="E47" s="63"/>
      <c r="F47" s="63"/>
      <c r="G47" s="63"/>
      <c r="H47" s="36"/>
      <c r="I47" s="5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ht="15.75" customHeight="1">
      <c r="A48" s="62">
        <v>2.0</v>
      </c>
      <c r="B48" s="75" t="s">
        <v>104</v>
      </c>
      <c r="C48" s="63"/>
      <c r="D48" s="63"/>
      <c r="E48" s="63"/>
      <c r="F48" s="63"/>
      <c r="G48" s="63"/>
      <c r="H48" s="36"/>
      <c r="I48" s="5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ht="15.75" customHeight="1">
      <c r="A49" s="62">
        <v>3.0</v>
      </c>
      <c r="B49" s="75" t="s">
        <v>105</v>
      </c>
      <c r="C49" s="63"/>
      <c r="D49" s="63"/>
      <c r="E49" s="63"/>
      <c r="F49" s="63"/>
      <c r="G49" s="63"/>
      <c r="H49" s="36"/>
      <c r="I49" s="5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ht="15.75" customHeight="1">
      <c r="A50" s="62">
        <v>4.0</v>
      </c>
      <c r="B50" s="75" t="s">
        <v>106</v>
      </c>
      <c r="C50" s="63"/>
      <c r="D50" s="63"/>
      <c r="E50" s="63"/>
      <c r="F50" s="63"/>
      <c r="G50" s="63"/>
      <c r="H50" s="36"/>
      <c r="I50" s="5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ht="15.75" customHeight="1">
      <c r="A51" s="62">
        <v>5.0</v>
      </c>
      <c r="B51" s="75" t="s">
        <v>107</v>
      </c>
      <c r="C51" s="63"/>
      <c r="D51" s="63"/>
      <c r="E51" s="63"/>
      <c r="F51" s="63"/>
      <c r="G51" s="63"/>
      <c r="H51" s="36"/>
      <c r="I51" s="5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ht="15.75" customHeight="1">
      <c r="A52" s="62">
        <v>6.0</v>
      </c>
      <c r="B52" s="75" t="s">
        <v>108</v>
      </c>
      <c r="C52" s="63"/>
      <c r="D52" s="63"/>
      <c r="E52" s="63"/>
      <c r="F52" s="63"/>
      <c r="G52" s="63"/>
      <c r="H52" s="36"/>
      <c r="I52" s="5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ht="15.75" customHeight="1">
      <c r="A53" s="62">
        <v>7.0</v>
      </c>
      <c r="B53" s="75" t="s">
        <v>109</v>
      </c>
      <c r="C53" s="63"/>
      <c r="D53" s="63"/>
      <c r="E53" s="63"/>
      <c r="F53" s="63"/>
      <c r="G53" s="63"/>
      <c r="H53" s="36"/>
      <c r="I53" s="5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ht="15.75" customHeight="1">
      <c r="A54" s="62">
        <v>8.0</v>
      </c>
      <c r="B54" s="75" t="s">
        <v>110</v>
      </c>
      <c r="C54" s="63"/>
      <c r="D54" s="63"/>
      <c r="E54" s="63"/>
      <c r="F54" s="63"/>
      <c r="G54" s="63"/>
      <c r="H54" s="36"/>
      <c r="I54" s="5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ht="15.75" customHeight="1">
      <c r="A55" s="62">
        <v>9.0</v>
      </c>
      <c r="B55" s="75" t="s">
        <v>111</v>
      </c>
      <c r="C55" s="63"/>
      <c r="D55" s="63"/>
      <c r="E55" s="63"/>
      <c r="F55" s="63"/>
      <c r="G55" s="63"/>
      <c r="H55" s="36"/>
      <c r="I55" s="5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ht="15.75" customHeight="1">
      <c r="A56" s="62">
        <v>10.0</v>
      </c>
      <c r="B56" s="75" t="s">
        <v>112</v>
      </c>
      <c r="C56" s="63"/>
      <c r="D56" s="63"/>
      <c r="E56" s="63"/>
      <c r="F56" s="63"/>
      <c r="G56" s="63"/>
      <c r="H56" s="36"/>
      <c r="I56" s="5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ht="15.75" customHeight="1">
      <c r="A57" s="62">
        <v>11.0</v>
      </c>
      <c r="B57" s="75" t="s">
        <v>113</v>
      </c>
      <c r="C57" s="63"/>
      <c r="D57" s="63"/>
      <c r="E57" s="63"/>
      <c r="F57" s="63"/>
      <c r="G57" s="63"/>
      <c r="H57" s="36"/>
      <c r="I57" s="5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ht="15.75" customHeight="1">
      <c r="A58" s="62">
        <v>12.0</v>
      </c>
      <c r="B58" s="75" t="s">
        <v>114</v>
      </c>
      <c r="C58" s="63"/>
      <c r="D58" s="63"/>
      <c r="E58" s="63"/>
      <c r="F58" s="63"/>
      <c r="G58" s="63"/>
      <c r="H58" s="36"/>
      <c r="I58" s="5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ht="15.75" customHeight="1">
      <c r="A59" s="62">
        <v>13.0</v>
      </c>
      <c r="B59" s="75" t="s">
        <v>115</v>
      </c>
      <c r="C59" s="63"/>
      <c r="D59" s="63"/>
      <c r="E59" s="63"/>
      <c r="F59" s="63"/>
      <c r="G59" s="63"/>
      <c r="H59" s="36"/>
      <c r="I59" s="5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ht="15.75" customHeight="1">
      <c r="A60" s="50">
        <v>14.0</v>
      </c>
      <c r="B60" s="75" t="s">
        <v>116</v>
      </c>
      <c r="C60" s="73"/>
      <c r="D60" s="73"/>
      <c r="E60" s="73"/>
      <c r="F60" s="73"/>
      <c r="G60" s="73"/>
      <c r="H60" s="36"/>
      <c r="I60" s="5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ht="15.75" customHeight="1">
      <c r="A61" s="3"/>
      <c r="B61" s="3"/>
      <c r="C61" s="36"/>
      <c r="D61" s="36"/>
      <c r="E61" s="36"/>
      <c r="F61" s="36"/>
      <c r="G61" s="36"/>
      <c r="H61" s="36"/>
      <c r="I61" s="5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ht="15.75" customHeight="1">
      <c r="A62" s="3"/>
      <c r="B62" s="3"/>
      <c r="C62" s="36"/>
      <c r="D62" s="36"/>
      <c r="E62" s="36"/>
      <c r="F62" s="36"/>
      <c r="G62" s="36"/>
      <c r="H62" s="36"/>
      <c r="I62" s="5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ht="15.75" customHeight="1">
      <c r="A63" s="3"/>
      <c r="B63" s="3"/>
      <c r="C63" s="36"/>
      <c r="D63" s="36"/>
      <c r="E63" s="36"/>
      <c r="F63" s="36"/>
      <c r="G63" s="36"/>
      <c r="H63" s="36"/>
      <c r="I63" s="36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ht="15.75" customHeight="1">
      <c r="A64" s="3"/>
      <c r="B64" s="3" t="s">
        <v>87</v>
      </c>
      <c r="C64" s="36"/>
      <c r="D64" s="36"/>
      <c r="E64" s="36"/>
      <c r="F64" s="36"/>
      <c r="G64" s="36"/>
      <c r="H64" s="36"/>
      <c r="I64" s="5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ht="15.75" customHeight="1"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ht="15.75" customHeight="1">
      <c r="A66" s="50"/>
      <c r="B66" s="50"/>
      <c r="C66" s="76"/>
      <c r="D66" s="76"/>
      <c r="E66" s="76"/>
      <c r="F66" s="76"/>
      <c r="G66" s="76"/>
      <c r="H66" s="67"/>
      <c r="I66" s="56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ht="15.75" customHeight="1">
      <c r="A67" s="77"/>
      <c r="B67" s="67"/>
      <c r="C67" s="66"/>
      <c r="D67" s="66"/>
      <c r="E67" s="66"/>
      <c r="F67" s="66"/>
      <c r="G67" s="66"/>
      <c r="H67" s="66"/>
      <c r="I67" s="56">
        <f t="shared" ref="I67:I68" si="2">SUM(C67:F67)</f>
        <v>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ht="15.75" customHeight="1">
      <c r="A68" s="80"/>
      <c r="B68" s="67"/>
      <c r="C68" s="35"/>
      <c r="D68" s="35"/>
      <c r="E68" s="35"/>
      <c r="F68" s="35"/>
      <c r="G68" s="35"/>
      <c r="H68" s="35"/>
      <c r="I68" s="56">
        <f t="shared" si="2"/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ht="15.75" customHeight="1">
      <c r="A69" s="67"/>
      <c r="B69" s="67"/>
      <c r="C69" s="66"/>
      <c r="D69" s="66"/>
      <c r="E69" s="66"/>
      <c r="F69" s="66"/>
      <c r="G69" s="66"/>
      <c r="H69" s="66"/>
      <c r="I69" s="68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ht="15.75" customHeight="1">
      <c r="A70" s="67"/>
      <c r="B70" s="67"/>
      <c r="C70" s="66"/>
      <c r="D70" s="66"/>
      <c r="E70" s="66"/>
      <c r="F70" s="66"/>
      <c r="G70" s="66"/>
      <c r="H70" s="66"/>
      <c r="I70" s="68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ht="15.75" customHeight="1">
      <c r="A71" s="67"/>
      <c r="B71" s="67"/>
      <c r="C71" s="66"/>
      <c r="D71" s="66"/>
      <c r="E71" s="66"/>
      <c r="F71" s="66"/>
      <c r="G71" s="66"/>
      <c r="H71" s="66"/>
      <c r="I71" s="68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ht="15.75" customHeight="1">
      <c r="A72" s="67"/>
      <c r="B72" s="67"/>
      <c r="C72" s="66"/>
      <c r="D72" s="66"/>
      <c r="E72" s="66"/>
      <c r="F72" s="66"/>
      <c r="G72" s="66"/>
      <c r="H72" s="66"/>
      <c r="I72" s="68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ht="15.75" customHeight="1">
      <c r="A73" s="67"/>
      <c r="B73" s="67"/>
      <c r="C73" s="66"/>
      <c r="D73" s="66"/>
      <c r="E73" s="66"/>
      <c r="F73" s="66"/>
      <c r="G73" s="66"/>
      <c r="H73" s="66"/>
      <c r="I73" s="68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ht="15.75" customHeight="1">
      <c r="A74" s="67"/>
      <c r="B74" s="67"/>
      <c r="C74" s="66"/>
      <c r="D74" s="66"/>
      <c r="E74" s="66"/>
      <c r="F74" s="66"/>
      <c r="G74" s="66"/>
      <c r="H74" s="66"/>
      <c r="I74" s="68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ht="15.75" customHeight="1">
      <c r="A75" s="67"/>
      <c r="B75" s="67"/>
      <c r="C75" s="66"/>
      <c r="D75" s="66"/>
      <c r="E75" s="66"/>
      <c r="F75" s="66"/>
      <c r="G75" s="66"/>
      <c r="H75" s="66"/>
      <c r="I75" s="68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ht="15.75" customHeight="1">
      <c r="A76" s="82">
        <v>1.0</v>
      </c>
      <c r="B76" s="67" t="s">
        <v>90</v>
      </c>
      <c r="C76" s="35">
        <f t="shared" ref="C76:G76" si="3">SUM(C3:C24)</f>
        <v>0</v>
      </c>
      <c r="D76" s="35">
        <f t="shared" si="3"/>
        <v>0</v>
      </c>
      <c r="E76" s="35">
        <f t="shared" si="3"/>
        <v>0</v>
      </c>
      <c r="F76" s="35">
        <f t="shared" si="3"/>
        <v>0</v>
      </c>
      <c r="G76" s="35">
        <f t="shared" si="3"/>
        <v>0</v>
      </c>
      <c r="H76" s="35">
        <f t="shared" ref="H76:H78" si="5">SUM(C76:G76)</f>
        <v>0</v>
      </c>
      <c r="I76" s="56">
        <f>SUM(C76:F76)</f>
        <v>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ht="15.75" customHeight="1">
      <c r="A77" s="82">
        <v>2.0</v>
      </c>
      <c r="B77" s="67" t="s">
        <v>91</v>
      </c>
      <c r="C77" s="70">
        <f t="shared" ref="C77:G77" si="4">SuM(C27:C44)</f>
        <v>0</v>
      </c>
      <c r="D77" s="70">
        <f t="shared" si="4"/>
        <v>0</v>
      </c>
      <c r="E77" s="70">
        <f t="shared" si="4"/>
        <v>0</v>
      </c>
      <c r="F77" s="70">
        <f t="shared" si="4"/>
        <v>0</v>
      </c>
      <c r="G77" s="70">
        <f t="shared" si="4"/>
        <v>0</v>
      </c>
      <c r="H77" s="35">
        <f t="shared" si="5"/>
        <v>0</v>
      </c>
      <c r="I77" s="68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ht="15.75" customHeight="1">
      <c r="A78" s="82">
        <v>3.0</v>
      </c>
      <c r="B78" s="67" t="s">
        <v>92</v>
      </c>
      <c r="C78" s="35">
        <f t="shared" ref="C78:G78" si="6">SUM(C47:C62)</f>
        <v>0</v>
      </c>
      <c r="D78" s="35">
        <f t="shared" si="6"/>
        <v>0</v>
      </c>
      <c r="E78" s="35">
        <f t="shared" si="6"/>
        <v>0</v>
      </c>
      <c r="F78" s="35">
        <f t="shared" si="6"/>
        <v>0</v>
      </c>
      <c r="G78" s="35">
        <f t="shared" si="6"/>
        <v>0</v>
      </c>
      <c r="H78" s="35">
        <f t="shared" si="5"/>
        <v>0</v>
      </c>
      <c r="I78" s="56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ht="15.75" customHeight="1">
      <c r="A79" s="82">
        <v>4.0</v>
      </c>
      <c r="B79" s="67" t="s">
        <v>93</v>
      </c>
      <c r="C79" s="70">
        <f>Sep!C33</f>
        <v>614500</v>
      </c>
      <c r="D79" s="70">
        <f>Sep!C34</f>
        <v>1607000</v>
      </c>
      <c r="E79" s="70">
        <f>Sep!C35</f>
        <v>741000</v>
      </c>
      <c r="F79" s="70">
        <f>Sep!C36</f>
        <v>1030000</v>
      </c>
      <c r="G79" s="70">
        <f>Sep!C37</f>
        <v>4028500</v>
      </c>
      <c r="H79" s="74">
        <f>Sep!C38</f>
        <v>8021000</v>
      </c>
      <c r="I79" s="68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ht="15.75" customHeight="1">
      <c r="A80" s="3"/>
      <c r="B80" s="72" t="s">
        <v>94</v>
      </c>
      <c r="C80" s="36">
        <f>SUM(C66:C79)</f>
        <v>614500</v>
      </c>
      <c r="D80" s="36">
        <f t="shared" ref="D80:G80" si="7">SUM(D65:D79)</f>
        <v>1607000</v>
      </c>
      <c r="E80" s="36">
        <f t="shared" si="7"/>
        <v>741000</v>
      </c>
      <c r="F80" s="36">
        <f t="shared" si="7"/>
        <v>1030000</v>
      </c>
      <c r="G80" s="36">
        <f t="shared" si="7"/>
        <v>4028500</v>
      </c>
      <c r="H80" s="36">
        <f>SUM(C80:G80)</f>
        <v>8021000</v>
      </c>
      <c r="I80" s="5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51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51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ht="15.75" customHeight="1">
      <c r="A83" s="3"/>
      <c r="B83" s="70"/>
      <c r="C83" s="70"/>
      <c r="D83" s="70"/>
      <c r="E83" s="70"/>
      <c r="F83" s="70"/>
      <c r="G83" s="70"/>
      <c r="H83" s="70"/>
      <c r="I83" s="51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ht="15.75" customHeight="1">
      <c r="A84" s="3"/>
      <c r="B84" s="3"/>
      <c r="C84" s="70"/>
      <c r="D84" s="3"/>
      <c r="E84" s="3"/>
      <c r="F84" s="3"/>
      <c r="G84" s="3"/>
      <c r="H84" s="3"/>
      <c r="I84" s="51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51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ht="15.75" customHeight="1">
      <c r="A86" s="3"/>
      <c r="B86" s="3"/>
      <c r="C86" s="23"/>
      <c r="D86" s="3"/>
      <c r="E86" s="3"/>
      <c r="F86" s="3"/>
      <c r="G86" s="3"/>
      <c r="H86" s="3"/>
      <c r="I86" s="51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51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51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51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51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51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51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51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51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51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51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51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51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51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51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51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51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51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51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51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51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51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51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51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51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51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51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51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51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51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51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51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51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51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51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51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51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51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51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51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51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51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51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51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51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51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51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51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51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51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51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51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51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51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51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51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51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51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51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51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51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51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51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51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51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51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51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51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51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51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51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51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51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51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51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51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51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51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51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51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51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51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51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51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51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51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51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51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51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51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51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51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51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51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51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51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51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51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51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51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51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51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51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51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51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51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51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51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51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51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51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51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51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51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51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51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51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51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51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51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51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51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51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51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51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51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51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51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51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51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51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51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51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51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51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51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51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51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51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51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51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51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51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51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51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51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51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51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51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51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51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51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51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51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51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51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51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51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51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51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51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51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51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51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51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51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51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51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51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51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51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51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51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51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51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51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51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51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51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51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51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51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51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51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51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51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51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51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51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51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51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51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51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51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51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5"/>
    <col customWidth="1" min="2" max="2" width="28.38"/>
    <col customWidth="1" min="3" max="6" width="12.63"/>
  </cols>
  <sheetData>
    <row r="1" ht="15.75" customHeight="1">
      <c r="A1" s="3"/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50" t="s">
        <v>95</v>
      </c>
      <c r="H1" s="3"/>
      <c r="I1" s="51" t="s">
        <v>36</v>
      </c>
      <c r="J1" s="3"/>
      <c r="K1" s="3"/>
      <c r="L1" s="3"/>
      <c r="M1" s="3"/>
      <c r="N1" s="3"/>
      <c r="O1" s="5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15.75" customHeight="1">
      <c r="A2" s="3"/>
      <c r="B2" s="3" t="s">
        <v>37</v>
      </c>
      <c r="C2" s="36"/>
      <c r="D2" s="36"/>
      <c r="E2" s="36"/>
      <c r="F2" s="36"/>
      <c r="G2" s="36"/>
      <c r="H2" s="36"/>
      <c r="I2" s="5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15.75" customHeight="1">
      <c r="A3" s="54">
        <v>1.0</v>
      </c>
      <c r="B3" s="3" t="s">
        <v>38</v>
      </c>
      <c r="C3" s="55"/>
      <c r="D3" s="55"/>
      <c r="E3" s="55"/>
      <c r="F3" s="55"/>
      <c r="G3" s="55"/>
      <c r="H3" s="36"/>
      <c r="I3" s="56">
        <f t="shared" ref="I3:I21" si="1">SUM(C3:F3)</f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15.75" customHeight="1">
      <c r="A4" s="54">
        <v>2.0</v>
      </c>
      <c r="B4" s="3" t="s">
        <v>39</v>
      </c>
      <c r="C4" s="55"/>
      <c r="D4" s="55"/>
      <c r="E4" s="55"/>
      <c r="F4" s="55"/>
      <c r="G4" s="55"/>
      <c r="H4" s="36"/>
      <c r="I4" s="56">
        <f t="shared" si="1"/>
        <v>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ht="15.75" customHeight="1">
      <c r="A5" s="54">
        <v>3.0</v>
      </c>
      <c r="B5" s="3" t="s">
        <v>40</v>
      </c>
      <c r="C5" s="55"/>
      <c r="D5" s="55"/>
      <c r="E5" s="55"/>
      <c r="F5" s="55"/>
      <c r="G5" s="55"/>
      <c r="H5" s="36"/>
      <c r="I5" s="56">
        <f t="shared" si="1"/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15.75" customHeight="1">
      <c r="A6" s="54">
        <v>4.0</v>
      </c>
      <c r="B6" s="3" t="s">
        <v>41</v>
      </c>
      <c r="C6" s="55"/>
      <c r="D6" s="55"/>
      <c r="E6" s="55"/>
      <c r="F6" s="55"/>
      <c r="G6" s="55"/>
      <c r="H6" s="36"/>
      <c r="I6" s="56">
        <f t="shared" si="1"/>
        <v>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ht="15.75" customHeight="1">
      <c r="A7" s="54">
        <v>5.0</v>
      </c>
      <c r="B7" s="3" t="s">
        <v>42</v>
      </c>
      <c r="C7" s="55"/>
      <c r="D7" s="55"/>
      <c r="E7" s="55"/>
      <c r="F7" s="55"/>
      <c r="G7" s="55"/>
      <c r="H7" s="36"/>
      <c r="I7" s="56">
        <f t="shared" si="1"/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ht="15.75" customHeight="1">
      <c r="A8" s="54">
        <v>6.0</v>
      </c>
      <c r="B8" s="3" t="s">
        <v>43</v>
      </c>
      <c r="C8" s="59"/>
      <c r="D8" s="59"/>
      <c r="E8" s="59"/>
      <c r="F8" s="59"/>
      <c r="G8" s="59"/>
      <c r="H8" s="36"/>
      <c r="I8" s="56">
        <f t="shared" si="1"/>
        <v>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15.75" customHeight="1">
      <c r="A9" s="54">
        <v>7.0</v>
      </c>
      <c r="B9" s="3" t="s">
        <v>44</v>
      </c>
      <c r="C9" s="55"/>
      <c r="D9" s="55"/>
      <c r="E9" s="55"/>
      <c r="F9" s="55"/>
      <c r="G9" s="55"/>
      <c r="H9" s="36"/>
      <c r="I9" s="56">
        <f t="shared" si="1"/>
        <v>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57"/>
      <c r="Z9" s="3"/>
      <c r="AA9" s="3"/>
      <c r="AB9" s="3"/>
      <c r="AC9" s="3"/>
    </row>
    <row r="10" ht="15.75" customHeight="1">
      <c r="A10" s="54">
        <v>8.0</v>
      </c>
      <c r="B10" s="3" t="s">
        <v>45</v>
      </c>
      <c r="C10" s="55"/>
      <c r="D10" s="55"/>
      <c r="E10" s="55"/>
      <c r="F10" s="55"/>
      <c r="G10" s="55"/>
      <c r="H10" s="36"/>
      <c r="I10" s="56">
        <f t="shared" si="1"/>
        <v>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15.75" customHeight="1">
      <c r="A11" s="54">
        <v>9.0</v>
      </c>
      <c r="B11" s="3" t="s">
        <v>46</v>
      </c>
      <c r="C11" s="55"/>
      <c r="D11" s="55"/>
      <c r="E11" s="55"/>
      <c r="F11" s="55"/>
      <c r="G11" s="55"/>
      <c r="H11" s="36"/>
      <c r="I11" s="56">
        <f t="shared" si="1"/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15.75" customHeight="1">
      <c r="A12" s="54">
        <v>10.0</v>
      </c>
      <c r="B12" s="3" t="s">
        <v>47</v>
      </c>
      <c r="C12" s="55"/>
      <c r="D12" s="55"/>
      <c r="E12" s="55"/>
      <c r="F12" s="55"/>
      <c r="G12" s="55"/>
      <c r="H12" s="36"/>
      <c r="I12" s="56">
        <f t="shared" si="1"/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ht="15.75" customHeight="1">
      <c r="A13" s="54">
        <v>11.0</v>
      </c>
      <c r="B13" s="3" t="s">
        <v>48</v>
      </c>
      <c r="C13" s="55"/>
      <c r="D13" s="55"/>
      <c r="E13" s="55"/>
      <c r="F13" s="55"/>
      <c r="G13" s="55"/>
      <c r="H13" s="36"/>
      <c r="I13" s="56">
        <f t="shared" si="1"/>
        <v>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15.75" customHeight="1">
      <c r="A14" s="54">
        <v>12.0</v>
      </c>
      <c r="B14" s="3" t="s">
        <v>49</v>
      </c>
      <c r="C14" s="58"/>
      <c r="D14" s="59"/>
      <c r="E14" s="59"/>
      <c r="F14" s="59"/>
      <c r="G14" s="59"/>
      <c r="H14" s="36"/>
      <c r="I14" s="56">
        <f t="shared" si="1"/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15.75" customHeight="1">
      <c r="A15" s="54">
        <v>13.0</v>
      </c>
      <c r="B15" s="3" t="s">
        <v>50</v>
      </c>
      <c r="C15" s="55"/>
      <c r="D15" s="55"/>
      <c r="E15" s="55"/>
      <c r="F15" s="55"/>
      <c r="G15" s="55"/>
      <c r="H15" s="36"/>
      <c r="I15" s="56">
        <f t="shared" si="1"/>
        <v>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15.75" customHeight="1">
      <c r="A16" s="54">
        <v>14.0</v>
      </c>
      <c r="B16" s="3" t="s">
        <v>51</v>
      </c>
      <c r="C16" s="55"/>
      <c r="D16" s="55"/>
      <c r="E16" s="55"/>
      <c r="F16" s="55"/>
      <c r="G16" s="55"/>
      <c r="H16" s="36"/>
      <c r="I16" s="56">
        <f t="shared" si="1"/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ht="15.75" customHeight="1">
      <c r="A17" s="54">
        <v>15.0</v>
      </c>
      <c r="B17" s="3" t="s">
        <v>96</v>
      </c>
      <c r="C17" s="58"/>
      <c r="D17" s="59"/>
      <c r="E17" s="59"/>
      <c r="F17" s="59"/>
      <c r="G17" s="59"/>
      <c r="H17" s="36"/>
      <c r="I17" s="56">
        <f t="shared" si="1"/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ht="15.75" customHeight="1">
      <c r="A18" s="54">
        <v>16.0</v>
      </c>
      <c r="B18" s="3" t="s">
        <v>53</v>
      </c>
      <c r="C18" s="58"/>
      <c r="D18" s="59"/>
      <c r="E18" s="59"/>
      <c r="F18" s="59"/>
      <c r="G18" s="59"/>
      <c r="H18" s="36"/>
      <c r="I18" s="56">
        <f t="shared" si="1"/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ht="15.75" customHeight="1">
      <c r="A19" s="54">
        <v>17.0</v>
      </c>
      <c r="B19" s="3" t="s">
        <v>54</v>
      </c>
      <c r="C19" s="55"/>
      <c r="D19" s="55"/>
      <c r="E19" s="55"/>
      <c r="F19" s="55"/>
      <c r="G19" s="55"/>
      <c r="H19" s="36"/>
      <c r="I19" s="56">
        <f t="shared" si="1"/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ht="15.75" customHeight="1">
      <c r="A20" s="54">
        <v>18.0</v>
      </c>
      <c r="B20" s="50" t="s">
        <v>97</v>
      </c>
      <c r="C20" s="58"/>
      <c r="D20" s="59"/>
      <c r="E20" s="59"/>
      <c r="F20" s="59"/>
      <c r="G20" s="59"/>
      <c r="H20" s="36"/>
      <c r="I20" s="56">
        <f t="shared" si="1"/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ht="15.75" customHeight="1">
      <c r="A21" s="54">
        <v>19.0</v>
      </c>
      <c r="B21" s="3" t="s">
        <v>56</v>
      </c>
      <c r="C21" s="55"/>
      <c r="D21" s="55"/>
      <c r="E21" s="55"/>
      <c r="F21" s="55"/>
      <c r="G21" s="55"/>
      <c r="H21" s="36"/>
      <c r="I21" s="56">
        <f t="shared" si="1"/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ht="15.75" customHeight="1">
      <c r="A22" s="3"/>
      <c r="B22" s="3"/>
      <c r="C22" s="36"/>
      <c r="D22" s="36"/>
      <c r="E22" s="36"/>
      <c r="F22" s="36"/>
      <c r="G22" s="36"/>
      <c r="H22" s="36"/>
      <c r="I22" s="5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ht="15.75" customHeight="1">
      <c r="A23" s="3"/>
      <c r="B23" s="3"/>
      <c r="C23" s="36"/>
      <c r="D23" s="36"/>
      <c r="E23" s="36"/>
      <c r="F23" s="36"/>
      <c r="G23" s="36"/>
      <c r="H23" s="36"/>
      <c r="I23" s="5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ht="15.75" customHeight="1">
      <c r="A24" s="3"/>
      <c r="B24" s="3"/>
      <c r="C24" s="36"/>
      <c r="D24" s="36"/>
      <c r="E24" s="36"/>
      <c r="F24" s="36"/>
      <c r="G24" s="36"/>
      <c r="H24" s="36"/>
      <c r="I24" s="5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ht="15.75" customHeight="1">
      <c r="A25" s="3"/>
      <c r="B25" s="3"/>
      <c r="C25" s="36"/>
      <c r="D25" s="36"/>
      <c r="E25" s="36"/>
      <c r="F25" s="36"/>
      <c r="G25" s="36"/>
      <c r="H25" s="36"/>
      <c r="I25" s="5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ht="15.75" customHeight="1">
      <c r="A26" s="3"/>
      <c r="B26" s="3" t="s">
        <v>57</v>
      </c>
      <c r="C26" s="36"/>
      <c r="D26" s="36"/>
      <c r="E26" s="36"/>
      <c r="F26" s="36"/>
      <c r="G26" s="36"/>
      <c r="H26" s="36"/>
      <c r="I26" s="5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ht="15.75" customHeight="1">
      <c r="A27" s="54">
        <v>1.0</v>
      </c>
      <c r="B27" s="3" t="s">
        <v>58</v>
      </c>
      <c r="C27" s="63"/>
      <c r="D27" s="63"/>
      <c r="E27" s="63"/>
      <c r="F27" s="63"/>
      <c r="G27" s="63"/>
      <c r="I27" s="5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ht="15.75" customHeight="1">
      <c r="A28" s="54">
        <v>2.0</v>
      </c>
      <c r="B28" s="3" t="s">
        <v>59</v>
      </c>
      <c r="C28" s="63"/>
      <c r="D28" s="63"/>
      <c r="E28" s="63"/>
      <c r="F28" s="63"/>
      <c r="G28" s="63"/>
      <c r="I28" s="5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ht="15.75" customHeight="1">
      <c r="A29" s="54">
        <v>3.0</v>
      </c>
      <c r="B29" s="3" t="s">
        <v>60</v>
      </c>
      <c r="C29" s="63"/>
      <c r="D29" s="63"/>
      <c r="E29" s="63"/>
      <c r="F29" s="63"/>
      <c r="G29" s="63"/>
      <c r="I29" s="5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ht="15.75" customHeight="1">
      <c r="A30" s="54">
        <v>4.0</v>
      </c>
      <c r="B30" s="3" t="s">
        <v>61</v>
      </c>
      <c r="C30" s="63"/>
      <c r="D30" s="63"/>
      <c r="E30" s="63"/>
      <c r="F30" s="63"/>
      <c r="G30" s="63"/>
      <c r="I30" s="5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ht="15.75" customHeight="1">
      <c r="A31" s="54">
        <v>5.0</v>
      </c>
      <c r="B31" s="3" t="s">
        <v>62</v>
      </c>
      <c r="C31" s="63"/>
      <c r="D31" s="63"/>
      <c r="E31" s="63"/>
      <c r="F31" s="63"/>
      <c r="G31" s="63"/>
      <c r="I31" s="5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ht="15.75" customHeight="1">
      <c r="A32" s="54">
        <v>6.0</v>
      </c>
      <c r="B32" s="3" t="s">
        <v>63</v>
      </c>
      <c r="C32" s="63"/>
      <c r="D32" s="63"/>
      <c r="E32" s="63"/>
      <c r="F32" s="63"/>
      <c r="G32" s="63"/>
      <c r="I32" s="5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ht="15.75" customHeight="1">
      <c r="A33" s="54">
        <v>7.0</v>
      </c>
      <c r="B33" s="3" t="s">
        <v>64</v>
      </c>
      <c r="C33" s="63"/>
      <c r="D33" s="63"/>
      <c r="E33" s="63"/>
      <c r="F33" s="63"/>
      <c r="G33" s="63"/>
      <c r="I33" s="5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ht="15.75" customHeight="1">
      <c r="A34" s="54">
        <v>8.0</v>
      </c>
      <c r="B34" s="3" t="s">
        <v>65</v>
      </c>
      <c r="C34" s="63"/>
      <c r="D34" s="63"/>
      <c r="E34" s="63"/>
      <c r="F34" s="63"/>
      <c r="G34" s="63"/>
      <c r="I34" s="5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ht="15.75" customHeight="1">
      <c r="A35" s="54">
        <v>9.0</v>
      </c>
      <c r="B35" s="3" t="s">
        <v>66</v>
      </c>
      <c r="C35" s="63"/>
      <c r="D35" s="63"/>
      <c r="E35" s="63"/>
      <c r="F35" s="63"/>
      <c r="G35" s="63"/>
      <c r="I35" s="5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ht="15.75" customHeight="1">
      <c r="A36" s="54">
        <v>10.0</v>
      </c>
      <c r="B36" s="3" t="s">
        <v>67</v>
      </c>
      <c r="C36" s="63"/>
      <c r="D36" s="63"/>
      <c r="E36" s="63"/>
      <c r="F36" s="63"/>
      <c r="G36" s="63"/>
      <c r="I36" s="5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ht="15.75" customHeight="1">
      <c r="A37" s="54">
        <v>11.0</v>
      </c>
      <c r="B37" s="3" t="s">
        <v>68</v>
      </c>
      <c r="C37" s="63"/>
      <c r="D37" s="63"/>
      <c r="E37" s="63"/>
      <c r="F37" s="63"/>
      <c r="G37" s="63"/>
      <c r="I37" s="5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ht="15.75" customHeight="1">
      <c r="A38" s="54">
        <v>12.0</v>
      </c>
      <c r="B38" s="3" t="s">
        <v>69</v>
      </c>
      <c r="C38" s="63"/>
      <c r="D38" s="63"/>
      <c r="E38" s="63"/>
      <c r="F38" s="63"/>
      <c r="G38" s="63"/>
      <c r="I38" s="5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ht="15.75" customHeight="1">
      <c r="A39" s="54">
        <v>13.0</v>
      </c>
      <c r="B39" s="3" t="s">
        <v>70</v>
      </c>
      <c r="C39" s="63"/>
      <c r="D39" s="63"/>
      <c r="E39" s="63"/>
      <c r="F39" s="63"/>
      <c r="G39" s="63"/>
      <c r="I39" s="5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ht="15.75" customHeight="1">
      <c r="A40" s="54">
        <v>14.0</v>
      </c>
      <c r="B40" s="3" t="s">
        <v>71</v>
      </c>
      <c r="C40" s="63"/>
      <c r="D40" s="63"/>
      <c r="E40" s="63"/>
      <c r="F40" s="63"/>
      <c r="G40" s="63"/>
      <c r="I40" s="5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ht="15.75" customHeight="1">
      <c r="A41" s="54">
        <v>15.0</v>
      </c>
      <c r="B41" s="3" t="s">
        <v>72</v>
      </c>
      <c r="C41" s="63"/>
      <c r="D41" s="63"/>
      <c r="E41" s="63"/>
      <c r="F41" s="63"/>
      <c r="G41" s="63"/>
      <c r="I41" s="5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ht="15.75" customHeight="1">
      <c r="A42" s="54">
        <v>16.0</v>
      </c>
      <c r="B42" s="3" t="s">
        <v>73</v>
      </c>
      <c r="C42" s="35"/>
      <c r="D42" s="36"/>
      <c r="E42" s="36"/>
      <c r="F42" s="36"/>
      <c r="G42" s="36"/>
      <c r="H42" s="36"/>
      <c r="I42" s="5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ht="15.75" customHeight="1">
      <c r="A43" s="3"/>
      <c r="B43" s="3"/>
      <c r="C43" s="36"/>
      <c r="D43" s="36"/>
      <c r="E43" s="36"/>
      <c r="F43" s="36"/>
      <c r="G43" s="36"/>
      <c r="H43" s="36"/>
      <c r="I43" s="5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ht="15.75" customHeight="1">
      <c r="A44" s="3"/>
      <c r="B44" s="3"/>
      <c r="C44" s="36"/>
      <c r="D44" s="36"/>
      <c r="E44" s="36"/>
      <c r="F44" s="36"/>
      <c r="G44" s="36"/>
      <c r="H44" s="36"/>
      <c r="I44" s="5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ht="15.75" customHeight="1">
      <c r="A45" s="3"/>
      <c r="B45" s="3"/>
      <c r="C45" s="36"/>
      <c r="D45" s="36"/>
      <c r="E45" s="36"/>
      <c r="F45" s="36"/>
      <c r="G45" s="36"/>
      <c r="H45" s="36"/>
      <c r="I45" s="5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ht="15.75" customHeight="1">
      <c r="A46" s="3"/>
      <c r="B46" s="3" t="s">
        <v>74</v>
      </c>
      <c r="C46" s="36"/>
      <c r="D46" s="36"/>
      <c r="E46" s="36"/>
      <c r="F46" s="36"/>
      <c r="G46" s="36"/>
      <c r="H46" s="36"/>
      <c r="I46" s="5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ht="15.75" customHeight="1">
      <c r="A47" s="62">
        <v>1.0</v>
      </c>
      <c r="B47" s="75" t="s">
        <v>103</v>
      </c>
      <c r="C47" s="63"/>
      <c r="D47" s="63"/>
      <c r="E47" s="63"/>
      <c r="F47" s="63"/>
      <c r="G47" s="63"/>
      <c r="H47" s="36"/>
      <c r="I47" s="5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ht="15.75" customHeight="1">
      <c r="A48" s="62">
        <v>2.0</v>
      </c>
      <c r="B48" s="75" t="s">
        <v>104</v>
      </c>
      <c r="C48" s="63"/>
      <c r="D48" s="63"/>
      <c r="E48" s="63"/>
      <c r="F48" s="63"/>
      <c r="G48" s="63"/>
      <c r="H48" s="36"/>
      <c r="I48" s="5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ht="15.75" customHeight="1">
      <c r="A49" s="62">
        <v>3.0</v>
      </c>
      <c r="B49" s="75" t="s">
        <v>105</v>
      </c>
      <c r="C49" s="63"/>
      <c r="D49" s="63"/>
      <c r="E49" s="63"/>
      <c r="F49" s="63"/>
      <c r="G49" s="63"/>
      <c r="H49" s="36"/>
      <c r="I49" s="5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ht="15.75" customHeight="1">
      <c r="A50" s="62">
        <v>4.0</v>
      </c>
      <c r="B50" s="75" t="s">
        <v>106</v>
      </c>
      <c r="C50" s="63"/>
      <c r="D50" s="63"/>
      <c r="E50" s="63"/>
      <c r="F50" s="63"/>
      <c r="G50" s="63"/>
      <c r="H50" s="36"/>
      <c r="I50" s="5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ht="15.75" customHeight="1">
      <c r="A51" s="62">
        <v>5.0</v>
      </c>
      <c r="B51" s="75" t="s">
        <v>107</v>
      </c>
      <c r="C51" s="63"/>
      <c r="D51" s="63"/>
      <c r="E51" s="63"/>
      <c r="F51" s="63"/>
      <c r="G51" s="63"/>
      <c r="H51" s="36"/>
      <c r="I51" s="5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ht="15.75" customHeight="1">
      <c r="A52" s="62">
        <v>6.0</v>
      </c>
      <c r="B52" s="75" t="s">
        <v>108</v>
      </c>
      <c r="C52" s="63"/>
      <c r="D52" s="63"/>
      <c r="E52" s="63"/>
      <c r="F52" s="63"/>
      <c r="G52" s="63"/>
      <c r="H52" s="36"/>
      <c r="I52" s="5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ht="15.75" customHeight="1">
      <c r="A53" s="62">
        <v>7.0</v>
      </c>
      <c r="B53" s="75" t="s">
        <v>109</v>
      </c>
      <c r="C53" s="63"/>
      <c r="D53" s="63"/>
      <c r="E53" s="63"/>
      <c r="F53" s="63"/>
      <c r="G53" s="63"/>
      <c r="H53" s="36"/>
      <c r="I53" s="5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ht="15.75" customHeight="1">
      <c r="A54" s="62">
        <v>8.0</v>
      </c>
      <c r="B54" s="75" t="s">
        <v>110</v>
      </c>
      <c r="C54" s="63"/>
      <c r="D54" s="63"/>
      <c r="E54" s="63"/>
      <c r="F54" s="63"/>
      <c r="G54" s="63"/>
      <c r="H54" s="36"/>
      <c r="I54" s="5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ht="15.75" customHeight="1">
      <c r="A55" s="62">
        <v>9.0</v>
      </c>
      <c r="B55" s="75" t="s">
        <v>111</v>
      </c>
      <c r="C55" s="63"/>
      <c r="D55" s="63"/>
      <c r="E55" s="63"/>
      <c r="F55" s="63"/>
      <c r="G55" s="63"/>
      <c r="H55" s="36"/>
      <c r="I55" s="5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ht="15.75" customHeight="1">
      <c r="A56" s="62">
        <v>10.0</v>
      </c>
      <c r="B56" s="75" t="s">
        <v>112</v>
      </c>
      <c r="C56" s="63"/>
      <c r="D56" s="63"/>
      <c r="E56" s="63"/>
      <c r="F56" s="63"/>
      <c r="G56" s="63"/>
      <c r="H56" s="36"/>
      <c r="I56" s="5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ht="15.75" customHeight="1">
      <c r="A57" s="62">
        <v>11.0</v>
      </c>
      <c r="B57" s="75" t="s">
        <v>113</v>
      </c>
      <c r="C57" s="63"/>
      <c r="D57" s="63"/>
      <c r="E57" s="63"/>
      <c r="F57" s="63"/>
      <c r="G57" s="63"/>
      <c r="H57" s="36"/>
      <c r="I57" s="5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ht="15.75" customHeight="1">
      <c r="A58" s="62">
        <v>12.0</v>
      </c>
      <c r="B58" s="75" t="s">
        <v>114</v>
      </c>
      <c r="C58" s="63"/>
      <c r="D58" s="63"/>
      <c r="E58" s="63"/>
      <c r="F58" s="63"/>
      <c r="G58" s="63"/>
      <c r="H58" s="36"/>
      <c r="I58" s="5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ht="15.75" customHeight="1">
      <c r="A59" s="62">
        <v>13.0</v>
      </c>
      <c r="B59" s="75" t="s">
        <v>115</v>
      </c>
      <c r="C59" s="63"/>
      <c r="D59" s="63"/>
      <c r="E59" s="63"/>
      <c r="F59" s="63"/>
      <c r="G59" s="63"/>
      <c r="H59" s="36"/>
      <c r="I59" s="5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ht="15.75" customHeight="1">
      <c r="A60" s="50">
        <v>14.0</v>
      </c>
      <c r="B60" s="75" t="s">
        <v>116</v>
      </c>
      <c r="C60" s="73"/>
      <c r="D60" s="73"/>
      <c r="E60" s="73"/>
      <c r="F60" s="73"/>
      <c r="G60" s="73"/>
      <c r="H60" s="36"/>
      <c r="I60" s="5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ht="15.75" customHeight="1">
      <c r="A61" s="3"/>
      <c r="B61" s="3"/>
      <c r="C61" s="36"/>
      <c r="D61" s="36"/>
      <c r="E61" s="36"/>
      <c r="F61" s="36"/>
      <c r="G61" s="36"/>
      <c r="H61" s="36"/>
      <c r="I61" s="5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ht="15.75" customHeight="1">
      <c r="A62" s="3"/>
      <c r="B62" s="3"/>
      <c r="C62" s="36"/>
      <c r="D62" s="36"/>
      <c r="E62" s="36"/>
      <c r="F62" s="36"/>
      <c r="G62" s="36"/>
      <c r="H62" s="36"/>
      <c r="I62" s="5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ht="15.75" customHeight="1">
      <c r="A63" s="3"/>
      <c r="B63" s="3"/>
      <c r="C63" s="36"/>
      <c r="D63" s="36"/>
      <c r="E63" s="36"/>
      <c r="F63" s="36"/>
      <c r="G63" s="36"/>
      <c r="H63" s="36"/>
      <c r="I63" s="36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ht="15.75" customHeight="1">
      <c r="A64" s="3"/>
      <c r="B64" s="3" t="s">
        <v>87</v>
      </c>
      <c r="C64" s="36"/>
      <c r="D64" s="36"/>
      <c r="E64" s="36"/>
      <c r="F64" s="36"/>
      <c r="G64" s="36"/>
      <c r="H64" s="36"/>
      <c r="I64" s="5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ht="15.75" customHeight="1">
      <c r="A66" s="3"/>
      <c r="B66" s="3"/>
      <c r="C66" s="36"/>
      <c r="D66" s="36"/>
      <c r="E66" s="36"/>
      <c r="F66" s="36"/>
      <c r="G66" s="36"/>
      <c r="H66" s="36"/>
      <c r="I66" s="56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ht="15.75" customHeight="1">
      <c r="A67" s="3"/>
      <c r="B67" s="3"/>
      <c r="C67" s="36"/>
      <c r="D67" s="36"/>
      <c r="E67" s="36"/>
      <c r="F67" s="36"/>
      <c r="G67" s="36"/>
      <c r="H67" s="36"/>
      <c r="I67" s="56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5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ht="15.75" customHeight="1">
      <c r="A69" s="3"/>
      <c r="B69" s="3"/>
      <c r="C69" s="36"/>
      <c r="D69" s="36"/>
      <c r="E69" s="36"/>
      <c r="F69" s="36"/>
      <c r="G69" s="36"/>
      <c r="H69" s="36"/>
      <c r="I69" s="5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ht="15.75" customHeight="1">
      <c r="A70" s="3"/>
      <c r="B70" s="3"/>
      <c r="C70" s="36"/>
      <c r="D70" s="36"/>
      <c r="E70" s="36"/>
      <c r="F70" s="36"/>
      <c r="G70" s="36"/>
      <c r="H70" s="36"/>
      <c r="I70" s="5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ht="15.75" customHeight="1">
      <c r="A71" s="3"/>
      <c r="B71" s="3"/>
      <c r="C71" s="36"/>
      <c r="D71" s="36"/>
      <c r="E71" s="36"/>
      <c r="F71" s="36"/>
      <c r="G71" s="36"/>
      <c r="H71" s="36"/>
      <c r="I71" s="5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ht="15.75" customHeight="1">
      <c r="A72" s="3"/>
      <c r="B72" s="3"/>
      <c r="C72" s="36"/>
      <c r="D72" s="36"/>
      <c r="E72" s="36"/>
      <c r="F72" s="36"/>
      <c r="G72" s="36"/>
      <c r="H72" s="36"/>
      <c r="I72" s="5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ht="15.75" customHeight="1">
      <c r="A73" s="3"/>
      <c r="B73" s="3"/>
      <c r="C73" s="36"/>
      <c r="D73" s="36"/>
      <c r="E73" s="36"/>
      <c r="F73" s="36"/>
      <c r="G73" s="36"/>
      <c r="H73" s="36"/>
      <c r="I73" s="5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ht="15.75" customHeight="1">
      <c r="A74" s="3"/>
      <c r="B74" s="3"/>
      <c r="C74" s="36"/>
      <c r="D74" s="36"/>
      <c r="E74" s="36"/>
      <c r="F74" s="36"/>
      <c r="G74" s="36"/>
      <c r="H74" s="36"/>
      <c r="I74" s="5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ht="15.75" customHeight="1">
      <c r="A75" s="3"/>
      <c r="B75" s="3"/>
      <c r="C75" s="36"/>
      <c r="D75" s="36"/>
      <c r="E75" s="36"/>
      <c r="F75" s="36"/>
      <c r="G75" s="36"/>
      <c r="H75" s="36"/>
      <c r="I75" s="5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ht="15.75" customHeight="1">
      <c r="A76" s="54">
        <v>1.0</v>
      </c>
      <c r="B76" s="3" t="s">
        <v>90</v>
      </c>
      <c r="C76" s="35">
        <f t="shared" ref="C76:G76" si="2">SUM(C3:C24)</f>
        <v>0</v>
      </c>
      <c r="D76" s="35">
        <f t="shared" si="2"/>
        <v>0</v>
      </c>
      <c r="E76" s="35">
        <f t="shared" si="2"/>
        <v>0</v>
      </c>
      <c r="F76" s="35">
        <f t="shared" si="2"/>
        <v>0</v>
      </c>
      <c r="G76" s="35">
        <f t="shared" si="2"/>
        <v>0</v>
      </c>
      <c r="H76" s="35">
        <f t="shared" ref="H76:H78" si="4">SUM(C76:G76)</f>
        <v>0</v>
      </c>
      <c r="I76" s="56">
        <f>SUM(C76:F76)</f>
        <v>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ht="15.75" customHeight="1">
      <c r="A77" s="54">
        <v>2.0</v>
      </c>
      <c r="B77" s="3" t="s">
        <v>91</v>
      </c>
      <c r="C77" s="70">
        <f t="shared" ref="C77:G77" si="3">SuM(C27:C44)</f>
        <v>0</v>
      </c>
      <c r="D77" s="70">
        <f t="shared" si="3"/>
        <v>0</v>
      </c>
      <c r="E77" s="70">
        <f t="shared" si="3"/>
        <v>0</v>
      </c>
      <c r="F77" s="70">
        <f t="shared" si="3"/>
        <v>0</v>
      </c>
      <c r="G77" s="70">
        <f t="shared" si="3"/>
        <v>0</v>
      </c>
      <c r="H77" s="35">
        <f t="shared" si="4"/>
        <v>0</v>
      </c>
      <c r="I77" s="5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ht="15.75" customHeight="1">
      <c r="A78" s="54">
        <v>3.0</v>
      </c>
      <c r="B78" s="3" t="s">
        <v>92</v>
      </c>
      <c r="C78" s="35">
        <f t="shared" ref="C78:G78" si="5">SUM(C47:C62)</f>
        <v>0</v>
      </c>
      <c r="D78" s="35">
        <f t="shared" si="5"/>
        <v>0</v>
      </c>
      <c r="E78" s="35">
        <f t="shared" si="5"/>
        <v>0</v>
      </c>
      <c r="F78" s="35">
        <f t="shared" si="5"/>
        <v>0</v>
      </c>
      <c r="G78" s="35">
        <f t="shared" si="5"/>
        <v>0</v>
      </c>
      <c r="H78" s="35">
        <f t="shared" si="4"/>
        <v>0</v>
      </c>
      <c r="I78" s="56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ht="15.75" customHeight="1">
      <c r="A79" s="54">
        <v>4.0</v>
      </c>
      <c r="B79" s="3" t="s">
        <v>93</v>
      </c>
      <c r="C79" s="70">
        <f>Okt!C33</f>
        <v>-810500</v>
      </c>
      <c r="D79" s="70">
        <f>Okt!C34</f>
        <v>1607000</v>
      </c>
      <c r="E79" s="70">
        <f>Okt!C35</f>
        <v>741000</v>
      </c>
      <c r="F79" s="70">
        <f>Okt!C36</f>
        <v>1030000</v>
      </c>
      <c r="G79" s="70">
        <f>Okt!C37</f>
        <v>4028500</v>
      </c>
      <c r="H79" s="74">
        <f>Okt!C38</f>
        <v>6596000</v>
      </c>
      <c r="I79" s="5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ht="15.75" customHeight="1">
      <c r="A80" s="3"/>
      <c r="B80" s="72" t="s">
        <v>94</v>
      </c>
      <c r="C80" s="36">
        <f t="shared" ref="C80:H80" si="6">SUM(C65:C79)</f>
        <v>-810500</v>
      </c>
      <c r="D80" s="36">
        <f t="shared" si="6"/>
        <v>1607000</v>
      </c>
      <c r="E80" s="36">
        <f t="shared" si="6"/>
        <v>741000</v>
      </c>
      <c r="F80" s="36">
        <f t="shared" si="6"/>
        <v>1030000</v>
      </c>
      <c r="G80" s="36">
        <f t="shared" si="6"/>
        <v>4028500</v>
      </c>
      <c r="H80" s="36">
        <f t="shared" si="6"/>
        <v>6596000</v>
      </c>
      <c r="I80" s="5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51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51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ht="15.75" customHeight="1">
      <c r="A83" s="3"/>
      <c r="B83" s="70"/>
      <c r="C83" s="70"/>
      <c r="D83" s="70"/>
      <c r="E83" s="70"/>
      <c r="F83" s="70"/>
      <c r="G83" s="70"/>
      <c r="H83" s="70"/>
      <c r="I83" s="51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ht="15.75" customHeight="1">
      <c r="A84" s="3"/>
      <c r="B84" s="3"/>
      <c r="C84" s="70"/>
      <c r="D84" s="3"/>
      <c r="E84" s="3"/>
      <c r="F84" s="3"/>
      <c r="G84" s="3"/>
      <c r="H84" s="3"/>
      <c r="I84" s="51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51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ht="15.75" customHeight="1">
      <c r="A86" s="3"/>
      <c r="B86" s="3"/>
      <c r="C86" s="23"/>
      <c r="D86" s="3"/>
      <c r="E86" s="3"/>
      <c r="F86" s="3"/>
      <c r="G86" s="3"/>
      <c r="H86" s="3"/>
      <c r="I86" s="51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51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51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51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51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51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51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51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51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51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51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51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51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51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51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51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51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51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51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51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51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51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51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51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51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51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51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51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51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51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51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51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51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51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51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51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51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51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51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51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51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51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51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51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51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51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51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51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51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51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51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51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51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51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51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51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51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51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51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51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51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51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51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51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51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51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51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51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51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51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51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51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51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51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51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51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51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51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51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51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51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51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51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51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51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51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51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51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51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51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51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51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51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51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51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51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51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51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51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51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51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51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51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51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51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51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51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51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51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51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51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51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51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51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51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51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51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51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51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51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51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51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51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51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51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51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51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51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51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51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51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51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51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51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51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51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51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51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51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51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51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51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51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51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51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51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51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51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51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51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51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51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51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51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51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51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51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51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51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51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51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51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51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51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51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51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51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51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51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51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51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51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51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51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51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51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51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51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51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51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51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51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51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51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51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51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51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51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51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51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51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51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51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51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51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88"/>
    <col customWidth="1" min="2" max="2" width="28.38"/>
    <col customWidth="1" min="3" max="4" width="13.38"/>
    <col customWidth="1" min="5" max="5" width="12.63"/>
    <col customWidth="1" min="6" max="6" width="13.25"/>
    <col customWidth="1" min="9" max="9" width="14.13"/>
  </cols>
  <sheetData>
    <row r="1" ht="15.75" customHeight="1">
      <c r="A1" s="3"/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50" t="s">
        <v>95</v>
      </c>
      <c r="H1" s="3"/>
      <c r="I1" s="51" t="s">
        <v>36</v>
      </c>
      <c r="J1" s="3"/>
      <c r="K1" s="3"/>
      <c r="L1" s="3"/>
      <c r="M1" s="3"/>
      <c r="N1" s="3"/>
      <c r="O1" s="5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15.75" customHeight="1">
      <c r="A2" s="3"/>
      <c r="B2" s="3" t="s">
        <v>37</v>
      </c>
      <c r="C2" s="36"/>
      <c r="D2" s="36"/>
      <c r="E2" s="36"/>
      <c r="F2" s="36"/>
      <c r="G2" s="36"/>
      <c r="H2" s="36"/>
      <c r="I2" s="5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15.75" customHeight="1">
      <c r="A3" s="54">
        <v>1.0</v>
      </c>
      <c r="B3" s="3" t="s">
        <v>38</v>
      </c>
      <c r="C3" s="55"/>
      <c r="D3" s="55"/>
      <c r="E3" s="55"/>
      <c r="F3" s="55"/>
      <c r="G3" s="55"/>
      <c r="H3" s="36"/>
      <c r="I3" s="56">
        <f t="shared" ref="I3:I21" si="1">SUM(C3:F3)</f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15.75" customHeight="1">
      <c r="A4" s="54">
        <v>2.0</v>
      </c>
      <c r="B4" s="3" t="s">
        <v>39</v>
      </c>
      <c r="C4" s="55"/>
      <c r="D4" s="55"/>
      <c r="E4" s="55"/>
      <c r="F4" s="55"/>
      <c r="G4" s="55"/>
      <c r="H4" s="36"/>
      <c r="I4" s="56">
        <f t="shared" si="1"/>
        <v>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ht="15.75" customHeight="1">
      <c r="A5" s="54">
        <v>3.0</v>
      </c>
      <c r="B5" s="3" t="s">
        <v>40</v>
      </c>
      <c r="C5" s="55"/>
      <c r="D5" s="55"/>
      <c r="E5" s="55"/>
      <c r="F5" s="55"/>
      <c r="G5" s="55"/>
      <c r="H5" s="36"/>
      <c r="I5" s="56">
        <f t="shared" si="1"/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15.75" customHeight="1">
      <c r="A6" s="54">
        <v>4.0</v>
      </c>
      <c r="B6" s="3" t="s">
        <v>41</v>
      </c>
      <c r="C6" s="55"/>
      <c r="D6" s="55"/>
      <c r="E6" s="55"/>
      <c r="F6" s="55"/>
      <c r="G6" s="55"/>
      <c r="H6" s="36"/>
      <c r="I6" s="56">
        <f t="shared" si="1"/>
        <v>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ht="15.75" customHeight="1">
      <c r="A7" s="54">
        <v>5.0</v>
      </c>
      <c r="B7" s="3" t="s">
        <v>42</v>
      </c>
      <c r="C7" s="55"/>
      <c r="D7" s="55"/>
      <c r="E7" s="55"/>
      <c r="F7" s="55"/>
      <c r="G7" s="55"/>
      <c r="H7" s="36"/>
      <c r="I7" s="56">
        <f t="shared" si="1"/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ht="15.75" customHeight="1">
      <c r="A8" s="54">
        <v>6.0</v>
      </c>
      <c r="B8" s="3" t="s">
        <v>43</v>
      </c>
      <c r="C8" s="59"/>
      <c r="D8" s="59"/>
      <c r="E8" s="59"/>
      <c r="F8" s="59"/>
      <c r="G8" s="59"/>
      <c r="H8" s="36"/>
      <c r="I8" s="56">
        <f t="shared" si="1"/>
        <v>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15.75" customHeight="1">
      <c r="A9" s="54">
        <v>7.0</v>
      </c>
      <c r="B9" s="3" t="s">
        <v>44</v>
      </c>
      <c r="C9" s="55"/>
      <c r="D9" s="55"/>
      <c r="E9" s="55"/>
      <c r="F9" s="55"/>
      <c r="G9" s="55"/>
      <c r="H9" s="36"/>
      <c r="I9" s="56">
        <f t="shared" si="1"/>
        <v>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57"/>
      <c r="Z9" s="3"/>
      <c r="AA9" s="3"/>
      <c r="AB9" s="3"/>
      <c r="AC9" s="3"/>
    </row>
    <row r="10" ht="15.75" customHeight="1">
      <c r="A10" s="54">
        <v>8.0</v>
      </c>
      <c r="B10" s="3" t="s">
        <v>45</v>
      </c>
      <c r="C10" s="55"/>
      <c r="D10" s="55"/>
      <c r="E10" s="55"/>
      <c r="F10" s="55"/>
      <c r="G10" s="55"/>
      <c r="H10" s="36"/>
      <c r="I10" s="56">
        <f t="shared" si="1"/>
        <v>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15.75" customHeight="1">
      <c r="A11" s="54">
        <v>9.0</v>
      </c>
      <c r="B11" s="3" t="s">
        <v>46</v>
      </c>
      <c r="C11" s="55"/>
      <c r="D11" s="55"/>
      <c r="E11" s="55"/>
      <c r="F11" s="55"/>
      <c r="G11" s="55"/>
      <c r="H11" s="36"/>
      <c r="I11" s="56">
        <f t="shared" si="1"/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15.75" customHeight="1">
      <c r="A12" s="54">
        <v>10.0</v>
      </c>
      <c r="B12" s="3" t="s">
        <v>47</v>
      </c>
      <c r="C12" s="55"/>
      <c r="D12" s="55"/>
      <c r="E12" s="55"/>
      <c r="F12" s="55"/>
      <c r="G12" s="55"/>
      <c r="H12" s="36"/>
      <c r="I12" s="56">
        <f t="shared" si="1"/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ht="15.75" customHeight="1">
      <c r="A13" s="54">
        <v>11.0</v>
      </c>
      <c r="B13" s="3" t="s">
        <v>48</v>
      </c>
      <c r="C13" s="55"/>
      <c r="D13" s="55"/>
      <c r="E13" s="55"/>
      <c r="F13" s="55"/>
      <c r="G13" s="55"/>
      <c r="H13" s="36"/>
      <c r="I13" s="56">
        <f t="shared" si="1"/>
        <v>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15.75" customHeight="1">
      <c r="A14" s="54">
        <v>12.0</v>
      </c>
      <c r="B14" s="3" t="s">
        <v>49</v>
      </c>
      <c r="C14" s="58"/>
      <c r="D14" s="59"/>
      <c r="E14" s="59"/>
      <c r="F14" s="59"/>
      <c r="G14" s="59"/>
      <c r="H14" s="36"/>
      <c r="I14" s="56">
        <f t="shared" si="1"/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15.75" customHeight="1">
      <c r="A15" s="54">
        <v>13.0</v>
      </c>
      <c r="B15" s="3" t="s">
        <v>50</v>
      </c>
      <c r="C15" s="55"/>
      <c r="D15" s="55"/>
      <c r="E15" s="55"/>
      <c r="F15" s="55"/>
      <c r="G15" s="55"/>
      <c r="H15" s="36"/>
      <c r="I15" s="56">
        <f t="shared" si="1"/>
        <v>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15.75" customHeight="1">
      <c r="A16" s="54">
        <v>14.0</v>
      </c>
      <c r="B16" s="3" t="s">
        <v>51</v>
      </c>
      <c r="C16" s="55"/>
      <c r="D16" s="55"/>
      <c r="E16" s="55"/>
      <c r="F16" s="55"/>
      <c r="G16" s="55"/>
      <c r="H16" s="36"/>
      <c r="I16" s="56">
        <f t="shared" si="1"/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ht="15.75" customHeight="1">
      <c r="A17" s="54">
        <v>15.0</v>
      </c>
      <c r="B17" s="3" t="s">
        <v>96</v>
      </c>
      <c r="C17" s="58"/>
      <c r="D17" s="59"/>
      <c r="E17" s="59"/>
      <c r="F17" s="59"/>
      <c r="G17" s="59"/>
      <c r="H17" s="36"/>
      <c r="I17" s="56">
        <f t="shared" si="1"/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ht="15.75" customHeight="1">
      <c r="A18" s="54">
        <v>16.0</v>
      </c>
      <c r="B18" s="3" t="s">
        <v>53</v>
      </c>
      <c r="C18" s="58"/>
      <c r="D18" s="59"/>
      <c r="E18" s="59"/>
      <c r="F18" s="59"/>
      <c r="G18" s="59"/>
      <c r="H18" s="36"/>
      <c r="I18" s="56">
        <f t="shared" si="1"/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ht="15.75" customHeight="1">
      <c r="A19" s="54">
        <v>17.0</v>
      </c>
      <c r="B19" s="3" t="s">
        <v>54</v>
      </c>
      <c r="C19" s="55"/>
      <c r="D19" s="55"/>
      <c r="E19" s="55"/>
      <c r="F19" s="55"/>
      <c r="G19" s="55"/>
      <c r="H19" s="36"/>
      <c r="I19" s="56">
        <f t="shared" si="1"/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ht="15.75" customHeight="1">
      <c r="A20" s="54">
        <v>18.0</v>
      </c>
      <c r="B20" s="50" t="s">
        <v>97</v>
      </c>
      <c r="C20" s="58"/>
      <c r="D20" s="59"/>
      <c r="E20" s="59"/>
      <c r="F20" s="59"/>
      <c r="G20" s="59"/>
      <c r="H20" s="36"/>
      <c r="I20" s="56">
        <f t="shared" si="1"/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ht="15.75" customHeight="1">
      <c r="A21" s="54">
        <v>19.0</v>
      </c>
      <c r="B21" s="3" t="s">
        <v>56</v>
      </c>
      <c r="C21" s="55"/>
      <c r="D21" s="55"/>
      <c r="E21" s="55"/>
      <c r="F21" s="55"/>
      <c r="G21" s="55"/>
      <c r="H21" s="36"/>
      <c r="I21" s="56">
        <f t="shared" si="1"/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ht="15.75" customHeight="1">
      <c r="A22" s="3"/>
      <c r="B22" s="3"/>
      <c r="C22" s="36"/>
      <c r="D22" s="36"/>
      <c r="E22" s="36"/>
      <c r="F22" s="36"/>
      <c r="G22" s="36"/>
      <c r="H22" s="36"/>
      <c r="I22" s="5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ht="15.75" customHeight="1">
      <c r="A23" s="3"/>
      <c r="B23" s="3"/>
      <c r="C23" s="36"/>
      <c r="D23" s="36"/>
      <c r="E23" s="36"/>
      <c r="F23" s="36"/>
      <c r="G23" s="36"/>
      <c r="H23" s="36"/>
      <c r="I23" s="5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ht="15.75" customHeight="1">
      <c r="A24" s="3"/>
      <c r="B24" s="3"/>
      <c r="C24" s="36"/>
      <c r="D24" s="36"/>
      <c r="E24" s="36"/>
      <c r="F24" s="36"/>
      <c r="G24" s="36"/>
      <c r="H24" s="36"/>
      <c r="I24" s="5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ht="15.75" customHeight="1">
      <c r="A25" s="3"/>
      <c r="B25" s="3"/>
      <c r="C25" s="36"/>
      <c r="D25" s="36"/>
      <c r="E25" s="36"/>
      <c r="F25" s="36"/>
      <c r="G25" s="36"/>
      <c r="H25" s="36"/>
      <c r="I25" s="5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ht="15.75" customHeight="1">
      <c r="A26" s="3"/>
      <c r="B26" s="3" t="s">
        <v>57</v>
      </c>
      <c r="C26" s="36"/>
      <c r="D26" s="36"/>
      <c r="E26" s="36"/>
      <c r="F26" s="36"/>
      <c r="G26" s="36"/>
      <c r="H26" s="36"/>
      <c r="I26" s="5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ht="15.75" customHeight="1">
      <c r="A27" s="54">
        <v>1.0</v>
      </c>
      <c r="B27" s="3" t="s">
        <v>58</v>
      </c>
      <c r="C27" s="63"/>
      <c r="D27" s="63"/>
      <c r="E27" s="63"/>
      <c r="F27" s="63"/>
      <c r="G27" s="63"/>
      <c r="H27" s="36"/>
      <c r="I27" s="5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ht="15.75" customHeight="1">
      <c r="A28" s="54">
        <v>2.0</v>
      </c>
      <c r="B28" s="3" t="s">
        <v>59</v>
      </c>
      <c r="C28" s="63"/>
      <c r="D28" s="63"/>
      <c r="E28" s="63"/>
      <c r="F28" s="63"/>
      <c r="G28" s="63"/>
      <c r="H28" s="36"/>
      <c r="I28" s="5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ht="15.75" customHeight="1">
      <c r="A29" s="54">
        <v>3.0</v>
      </c>
      <c r="B29" s="3" t="s">
        <v>60</v>
      </c>
      <c r="C29" s="63"/>
      <c r="D29" s="63"/>
      <c r="E29" s="63"/>
      <c r="F29" s="63"/>
      <c r="G29" s="63"/>
      <c r="H29" s="36"/>
      <c r="I29" s="5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ht="15.75" customHeight="1">
      <c r="A30" s="54">
        <v>4.0</v>
      </c>
      <c r="B30" s="3" t="s">
        <v>61</v>
      </c>
      <c r="C30" s="63"/>
      <c r="D30" s="63"/>
      <c r="E30" s="63"/>
      <c r="F30" s="63"/>
      <c r="G30" s="63"/>
      <c r="H30" s="36"/>
      <c r="I30" s="5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ht="15.75" customHeight="1">
      <c r="A31" s="54">
        <v>5.0</v>
      </c>
      <c r="B31" s="3" t="s">
        <v>62</v>
      </c>
      <c r="C31" s="63"/>
      <c r="D31" s="63"/>
      <c r="E31" s="63"/>
      <c r="F31" s="63"/>
      <c r="G31" s="63"/>
      <c r="H31" s="36"/>
      <c r="I31" s="5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ht="15.75" customHeight="1">
      <c r="A32" s="54">
        <v>6.0</v>
      </c>
      <c r="B32" s="3" t="s">
        <v>63</v>
      </c>
      <c r="C32" s="63"/>
      <c r="D32" s="63"/>
      <c r="E32" s="63"/>
      <c r="F32" s="63"/>
      <c r="G32" s="63"/>
      <c r="H32" s="36"/>
      <c r="I32" s="5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ht="15.75" customHeight="1">
      <c r="A33" s="54">
        <v>7.0</v>
      </c>
      <c r="B33" s="3" t="s">
        <v>64</v>
      </c>
      <c r="C33" s="63"/>
      <c r="D33" s="63"/>
      <c r="E33" s="63"/>
      <c r="F33" s="63"/>
      <c r="G33" s="63"/>
      <c r="H33" s="36"/>
      <c r="I33" s="5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ht="15.75" customHeight="1">
      <c r="A34" s="54">
        <v>8.0</v>
      </c>
      <c r="B34" s="3" t="s">
        <v>65</v>
      </c>
      <c r="C34" s="63"/>
      <c r="D34" s="63"/>
      <c r="E34" s="63"/>
      <c r="F34" s="63"/>
      <c r="G34" s="63"/>
      <c r="H34" s="36"/>
      <c r="I34" s="5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ht="15.75" customHeight="1">
      <c r="A35" s="54">
        <v>9.0</v>
      </c>
      <c r="B35" s="3" t="s">
        <v>66</v>
      </c>
      <c r="C35" s="63"/>
      <c r="D35" s="63"/>
      <c r="E35" s="63"/>
      <c r="F35" s="63"/>
      <c r="G35" s="63"/>
      <c r="H35" s="36"/>
      <c r="I35" s="5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ht="15.75" customHeight="1">
      <c r="A36" s="54">
        <v>10.0</v>
      </c>
      <c r="B36" s="3" t="s">
        <v>67</v>
      </c>
      <c r="C36" s="63"/>
      <c r="D36" s="63"/>
      <c r="E36" s="63"/>
      <c r="F36" s="63"/>
      <c r="G36" s="63"/>
      <c r="H36" s="36"/>
      <c r="I36" s="5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ht="15.75" customHeight="1">
      <c r="A37" s="54">
        <v>11.0</v>
      </c>
      <c r="B37" s="3" t="s">
        <v>68</v>
      </c>
      <c r="C37" s="63"/>
      <c r="D37" s="63"/>
      <c r="E37" s="63"/>
      <c r="F37" s="63"/>
      <c r="G37" s="63"/>
      <c r="H37" s="36"/>
      <c r="I37" s="5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ht="15.75" customHeight="1">
      <c r="A38" s="54">
        <v>12.0</v>
      </c>
      <c r="B38" s="3" t="s">
        <v>69</v>
      </c>
      <c r="C38" s="63"/>
      <c r="D38" s="63"/>
      <c r="E38" s="63"/>
      <c r="F38" s="63"/>
      <c r="G38" s="63"/>
      <c r="H38" s="36"/>
      <c r="I38" s="5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ht="15.75" customHeight="1">
      <c r="A39" s="54">
        <v>13.0</v>
      </c>
      <c r="B39" s="3" t="s">
        <v>70</v>
      </c>
      <c r="C39" s="63"/>
      <c r="D39" s="63"/>
      <c r="E39" s="63"/>
      <c r="F39" s="63"/>
      <c r="G39" s="63"/>
      <c r="H39" s="36"/>
      <c r="I39" s="5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ht="15.75" customHeight="1">
      <c r="A40" s="54">
        <v>14.0</v>
      </c>
      <c r="B40" s="3" t="s">
        <v>71</v>
      </c>
      <c r="C40" s="63"/>
      <c r="D40" s="63"/>
      <c r="E40" s="63"/>
      <c r="F40" s="63"/>
      <c r="G40" s="63"/>
      <c r="H40" s="36"/>
      <c r="I40" s="5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ht="15.75" customHeight="1">
      <c r="A41" s="54">
        <v>15.0</v>
      </c>
      <c r="B41" s="3" t="s">
        <v>72</v>
      </c>
      <c r="C41" s="63"/>
      <c r="D41" s="63"/>
      <c r="E41" s="63"/>
      <c r="F41" s="63"/>
      <c r="G41" s="63"/>
      <c r="H41" s="36"/>
      <c r="I41" s="5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ht="15.75" customHeight="1">
      <c r="A42" s="54">
        <v>16.0</v>
      </c>
      <c r="B42" s="3" t="s">
        <v>73</v>
      </c>
      <c r="C42" s="35"/>
      <c r="D42" s="36"/>
      <c r="E42" s="36"/>
      <c r="F42" s="36"/>
      <c r="G42" s="36"/>
      <c r="H42" s="36"/>
      <c r="I42" s="5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ht="15.75" customHeight="1">
      <c r="A43" s="3"/>
      <c r="B43" s="3"/>
      <c r="C43" s="36"/>
      <c r="D43" s="36"/>
      <c r="E43" s="36"/>
      <c r="F43" s="36"/>
      <c r="G43" s="36"/>
      <c r="H43" s="36"/>
      <c r="I43" s="5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ht="15.75" customHeight="1">
      <c r="A44" s="3"/>
      <c r="B44" s="3"/>
      <c r="C44" s="36"/>
      <c r="D44" s="36"/>
      <c r="E44" s="36"/>
      <c r="F44" s="36"/>
      <c r="G44" s="36"/>
      <c r="H44" s="36"/>
      <c r="I44" s="5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ht="15.75" customHeight="1">
      <c r="A45" s="3"/>
      <c r="B45" s="3"/>
      <c r="C45" s="36"/>
      <c r="D45" s="36"/>
      <c r="E45" s="36"/>
      <c r="F45" s="36"/>
      <c r="G45" s="36"/>
      <c r="H45" s="36"/>
      <c r="I45" s="5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ht="15.75" customHeight="1">
      <c r="A46" s="3"/>
      <c r="B46" s="3" t="s">
        <v>74</v>
      </c>
      <c r="C46" s="36"/>
      <c r="D46" s="36"/>
      <c r="E46" s="36"/>
      <c r="F46" s="36"/>
      <c r="G46" s="36"/>
      <c r="H46" s="36"/>
      <c r="I46" s="5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ht="15.75" customHeight="1">
      <c r="A47" s="62">
        <v>1.0</v>
      </c>
      <c r="B47" s="75" t="s">
        <v>103</v>
      </c>
      <c r="C47" s="63"/>
      <c r="D47" s="63"/>
      <c r="E47" s="63"/>
      <c r="F47" s="63"/>
      <c r="G47" s="63"/>
      <c r="H47" s="36"/>
      <c r="I47" s="5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ht="15.75" customHeight="1">
      <c r="A48" s="62">
        <v>2.0</v>
      </c>
      <c r="B48" s="75" t="s">
        <v>104</v>
      </c>
      <c r="C48" s="63"/>
      <c r="D48" s="63"/>
      <c r="E48" s="63"/>
      <c r="F48" s="63"/>
      <c r="G48" s="63"/>
      <c r="H48" s="36"/>
      <c r="I48" s="5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ht="15.75" customHeight="1">
      <c r="A49" s="62">
        <v>3.0</v>
      </c>
      <c r="B49" s="75" t="s">
        <v>105</v>
      </c>
      <c r="C49" s="63"/>
      <c r="D49" s="63"/>
      <c r="E49" s="63"/>
      <c r="F49" s="63"/>
      <c r="G49" s="63"/>
      <c r="H49" s="36"/>
      <c r="I49" s="5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ht="15.75" customHeight="1">
      <c r="A50" s="62">
        <v>4.0</v>
      </c>
      <c r="B50" s="75" t="s">
        <v>106</v>
      </c>
      <c r="C50" s="63"/>
      <c r="D50" s="63"/>
      <c r="E50" s="63"/>
      <c r="F50" s="63"/>
      <c r="G50" s="63"/>
      <c r="H50" s="36"/>
      <c r="I50" s="5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ht="15.75" customHeight="1">
      <c r="A51" s="62">
        <v>5.0</v>
      </c>
      <c r="B51" s="75" t="s">
        <v>107</v>
      </c>
      <c r="C51" s="63"/>
      <c r="D51" s="63"/>
      <c r="E51" s="63"/>
      <c r="F51" s="63"/>
      <c r="G51" s="63"/>
      <c r="H51" s="36"/>
      <c r="I51" s="5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ht="15.75" customHeight="1">
      <c r="A52" s="62">
        <v>6.0</v>
      </c>
      <c r="B52" s="75" t="s">
        <v>108</v>
      </c>
      <c r="C52" s="63"/>
      <c r="D52" s="63"/>
      <c r="E52" s="63"/>
      <c r="F52" s="63"/>
      <c r="G52" s="63"/>
      <c r="H52" s="36"/>
      <c r="I52" s="5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ht="15.75" customHeight="1">
      <c r="A53" s="62">
        <v>7.0</v>
      </c>
      <c r="B53" s="75" t="s">
        <v>109</v>
      </c>
      <c r="C53" s="63"/>
      <c r="D53" s="63"/>
      <c r="E53" s="63"/>
      <c r="F53" s="63"/>
      <c r="G53" s="63"/>
      <c r="H53" s="36"/>
      <c r="I53" s="5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ht="15.75" customHeight="1">
      <c r="A54" s="62">
        <v>8.0</v>
      </c>
      <c r="B54" s="75" t="s">
        <v>110</v>
      </c>
      <c r="C54" s="63"/>
      <c r="D54" s="63"/>
      <c r="E54" s="63"/>
      <c r="F54" s="63"/>
      <c r="G54" s="63"/>
      <c r="H54" s="36"/>
      <c r="I54" s="5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ht="15.75" customHeight="1">
      <c r="A55" s="62">
        <v>9.0</v>
      </c>
      <c r="B55" s="75" t="s">
        <v>111</v>
      </c>
      <c r="C55" s="63"/>
      <c r="D55" s="63"/>
      <c r="E55" s="63"/>
      <c r="F55" s="63"/>
      <c r="G55" s="63"/>
      <c r="H55" s="36"/>
      <c r="I55" s="5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ht="15.75" customHeight="1">
      <c r="A56" s="62">
        <v>10.0</v>
      </c>
      <c r="B56" s="75" t="s">
        <v>112</v>
      </c>
      <c r="C56" s="63"/>
      <c r="D56" s="63"/>
      <c r="E56" s="63"/>
      <c r="F56" s="63"/>
      <c r="G56" s="63"/>
      <c r="H56" s="36"/>
      <c r="I56" s="5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ht="15.75" customHeight="1">
      <c r="A57" s="62">
        <v>11.0</v>
      </c>
      <c r="B57" s="75" t="s">
        <v>113</v>
      </c>
      <c r="C57" s="63"/>
      <c r="D57" s="63"/>
      <c r="E57" s="63"/>
      <c r="F57" s="63"/>
      <c r="G57" s="63"/>
      <c r="H57" s="36"/>
      <c r="I57" s="5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ht="15.75" customHeight="1">
      <c r="A58" s="62">
        <v>12.0</v>
      </c>
      <c r="B58" s="75" t="s">
        <v>114</v>
      </c>
      <c r="C58" s="63"/>
      <c r="D58" s="63"/>
      <c r="E58" s="63"/>
      <c r="F58" s="63"/>
      <c r="G58" s="63"/>
      <c r="H58" s="36"/>
      <c r="I58" s="5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ht="15.75" customHeight="1">
      <c r="A59" s="62">
        <v>13.0</v>
      </c>
      <c r="B59" s="75" t="s">
        <v>115</v>
      </c>
      <c r="C59" s="73"/>
      <c r="D59" s="73"/>
      <c r="E59" s="73"/>
      <c r="F59" s="73"/>
      <c r="G59" s="73"/>
      <c r="H59" s="36"/>
      <c r="I59" s="5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ht="15.75" customHeight="1">
      <c r="A60" s="50">
        <v>14.0</v>
      </c>
      <c r="B60" s="75" t="s">
        <v>116</v>
      </c>
      <c r="C60" s="73"/>
      <c r="D60" s="73"/>
      <c r="E60" s="73"/>
      <c r="F60" s="73"/>
      <c r="G60" s="73"/>
      <c r="H60" s="36"/>
      <c r="I60" s="5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ht="15.75" customHeight="1">
      <c r="A61" s="3"/>
      <c r="B61" s="3"/>
      <c r="C61" s="36"/>
      <c r="D61" s="36"/>
      <c r="E61" s="36"/>
      <c r="F61" s="36"/>
      <c r="G61" s="36"/>
      <c r="H61" s="36"/>
      <c r="I61" s="5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ht="15.75" customHeight="1">
      <c r="A62" s="3"/>
      <c r="B62" s="3"/>
      <c r="C62" s="36"/>
      <c r="D62" s="36"/>
      <c r="E62" s="36"/>
      <c r="F62" s="36"/>
      <c r="G62" s="36"/>
      <c r="H62" s="36"/>
      <c r="I62" s="5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ht="15.75" customHeight="1">
      <c r="A63" s="3"/>
      <c r="B63" s="3"/>
      <c r="C63" s="36"/>
      <c r="D63" s="36"/>
      <c r="E63" s="36"/>
      <c r="F63" s="36"/>
      <c r="G63" s="36"/>
      <c r="H63" s="36"/>
      <c r="I63" s="36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ht="15.75" customHeight="1">
      <c r="A64" s="3"/>
      <c r="B64" s="3" t="s">
        <v>87</v>
      </c>
      <c r="C64" s="36"/>
      <c r="D64" s="36"/>
      <c r="E64" s="36"/>
      <c r="F64" s="36"/>
      <c r="G64" s="36"/>
      <c r="H64" s="36"/>
      <c r="I64" s="5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ht="15.75" customHeight="1">
      <c r="A66" s="3"/>
      <c r="B66" s="3"/>
      <c r="C66" s="36"/>
      <c r="D66" s="36"/>
      <c r="E66" s="36"/>
      <c r="F66" s="36"/>
      <c r="G66" s="36"/>
      <c r="H66" s="36"/>
      <c r="I66" s="56">
        <f t="shared" ref="I66:I67" si="2">SUM(C66:F66)</f>
        <v>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ht="15.75" customHeight="1">
      <c r="A67" s="80"/>
      <c r="B67" s="67"/>
      <c r="C67" s="35"/>
      <c r="D67" s="35"/>
      <c r="E67" s="35"/>
      <c r="F67" s="35"/>
      <c r="G67" s="35"/>
      <c r="H67" s="35"/>
      <c r="I67" s="56">
        <f t="shared" si="2"/>
        <v>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5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ht="15.75" customHeight="1">
      <c r="A69" s="3"/>
      <c r="B69" s="3"/>
      <c r="C69" s="36"/>
      <c r="D69" s="36"/>
      <c r="E69" s="36"/>
      <c r="F69" s="36"/>
      <c r="G69" s="36"/>
      <c r="H69" s="36"/>
      <c r="I69" s="5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ht="15.75" customHeight="1">
      <c r="A70" s="3"/>
      <c r="B70" s="3"/>
      <c r="C70" s="36"/>
      <c r="D70" s="36"/>
      <c r="E70" s="36"/>
      <c r="F70" s="36"/>
      <c r="G70" s="36"/>
      <c r="H70" s="36"/>
      <c r="I70" s="5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ht="15.75" customHeight="1">
      <c r="A71" s="3"/>
      <c r="B71" s="3"/>
      <c r="C71" s="36"/>
      <c r="D71" s="36"/>
      <c r="E71" s="36"/>
      <c r="F71" s="36"/>
      <c r="G71" s="36"/>
      <c r="H71" s="36"/>
      <c r="I71" s="5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ht="15.75" customHeight="1">
      <c r="A72" s="3"/>
      <c r="B72" s="3"/>
      <c r="C72" s="36"/>
      <c r="D72" s="36"/>
      <c r="E72" s="36"/>
      <c r="F72" s="36"/>
      <c r="G72" s="36"/>
      <c r="H72" s="36"/>
      <c r="I72" s="5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ht="15.75" customHeight="1">
      <c r="A73" s="3"/>
      <c r="B73" s="3"/>
      <c r="C73" s="36"/>
      <c r="D73" s="36"/>
      <c r="E73" s="36"/>
      <c r="F73" s="36"/>
      <c r="G73" s="36"/>
      <c r="H73" s="36"/>
      <c r="I73" s="5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ht="15.75" customHeight="1">
      <c r="A74" s="3"/>
      <c r="B74" s="3"/>
      <c r="C74" s="36"/>
      <c r="D74" s="36"/>
      <c r="E74" s="36"/>
      <c r="F74" s="36"/>
      <c r="G74" s="36"/>
      <c r="H74" s="36"/>
      <c r="I74" s="5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ht="15.75" customHeight="1">
      <c r="A75" s="3"/>
      <c r="B75" s="3"/>
      <c r="C75" s="36"/>
      <c r="D75" s="36"/>
      <c r="E75" s="36"/>
      <c r="F75" s="36"/>
      <c r="G75" s="36"/>
      <c r="H75" s="36"/>
      <c r="I75" s="5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ht="15.75" customHeight="1">
      <c r="A76" s="69">
        <v>1.0</v>
      </c>
      <c r="B76" s="3" t="s">
        <v>90</v>
      </c>
      <c r="C76" s="35">
        <f t="shared" ref="C76:G76" si="3">SUM(C3:C24)</f>
        <v>0</v>
      </c>
      <c r="D76" s="35">
        <f t="shared" si="3"/>
        <v>0</v>
      </c>
      <c r="E76" s="35">
        <f t="shared" si="3"/>
        <v>0</v>
      </c>
      <c r="F76" s="35">
        <f t="shared" si="3"/>
        <v>0</v>
      </c>
      <c r="G76" s="35">
        <f t="shared" si="3"/>
        <v>0</v>
      </c>
      <c r="H76" s="35">
        <f t="shared" ref="H76:H78" si="5">SUM(C76:G76)</f>
        <v>0</v>
      </c>
      <c r="I76" s="56">
        <f>SUM(C76:F76)</f>
        <v>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ht="15.75" customHeight="1">
      <c r="A77" s="69">
        <v>2.0</v>
      </c>
      <c r="B77" s="3" t="s">
        <v>91</v>
      </c>
      <c r="C77" s="70">
        <f t="shared" ref="C77:G77" si="4">SuM(C27:C44)</f>
        <v>0</v>
      </c>
      <c r="D77" s="70">
        <f t="shared" si="4"/>
        <v>0</v>
      </c>
      <c r="E77" s="70">
        <f t="shared" si="4"/>
        <v>0</v>
      </c>
      <c r="F77" s="70">
        <f t="shared" si="4"/>
        <v>0</v>
      </c>
      <c r="G77" s="70">
        <f t="shared" si="4"/>
        <v>0</v>
      </c>
      <c r="H77" s="35">
        <f t="shared" si="5"/>
        <v>0</v>
      </c>
      <c r="I77" s="5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ht="15.75" customHeight="1">
      <c r="A78" s="69">
        <v>3.0</v>
      </c>
      <c r="B78" s="3" t="s">
        <v>92</v>
      </c>
      <c r="C78" s="35">
        <f t="shared" ref="C78:G78" si="6">SUM(C47:C62)</f>
        <v>0</v>
      </c>
      <c r="D78" s="35">
        <f t="shared" si="6"/>
        <v>0</v>
      </c>
      <c r="E78" s="35">
        <f t="shared" si="6"/>
        <v>0</v>
      </c>
      <c r="F78" s="35">
        <f t="shared" si="6"/>
        <v>0</v>
      </c>
      <c r="G78" s="35">
        <f t="shared" si="6"/>
        <v>0</v>
      </c>
      <c r="H78" s="35">
        <f t="shared" si="5"/>
        <v>0</v>
      </c>
      <c r="I78" s="56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ht="15.75" customHeight="1">
      <c r="A79" s="69">
        <v>4.0</v>
      </c>
      <c r="B79" s="3" t="s">
        <v>93</v>
      </c>
      <c r="C79" s="70">
        <f>Nov!C33</f>
        <v>-2235500</v>
      </c>
      <c r="D79" s="70">
        <f>Nov!C34</f>
        <v>1607000</v>
      </c>
      <c r="E79" s="70">
        <f>Nov!C35</f>
        <v>741000</v>
      </c>
      <c r="F79" s="70">
        <f>Nov!C36</f>
        <v>1030000</v>
      </c>
      <c r="G79" s="70">
        <f>Nov!C37</f>
        <v>4028500</v>
      </c>
      <c r="H79" s="74">
        <f>Nov!C38</f>
        <v>5171000</v>
      </c>
      <c r="I79" s="5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ht="15.75" customHeight="1">
      <c r="A80" s="3"/>
      <c r="B80" s="72" t="s">
        <v>94</v>
      </c>
      <c r="C80" s="36">
        <f t="shared" ref="C80:H80" si="7">SUM(C65:C79)</f>
        <v>-2235500</v>
      </c>
      <c r="D80" s="36">
        <f t="shared" si="7"/>
        <v>1607000</v>
      </c>
      <c r="E80" s="36">
        <f t="shared" si="7"/>
        <v>741000</v>
      </c>
      <c r="F80" s="36">
        <f t="shared" si="7"/>
        <v>1030000</v>
      </c>
      <c r="G80" s="36">
        <f t="shared" si="7"/>
        <v>4028500</v>
      </c>
      <c r="H80" s="36">
        <f t="shared" si="7"/>
        <v>5171000</v>
      </c>
      <c r="I80" s="5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51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51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ht="15.75" customHeight="1">
      <c r="A83" s="3"/>
      <c r="B83" s="70"/>
      <c r="C83" s="70"/>
      <c r="D83" s="70"/>
      <c r="E83" s="70"/>
      <c r="F83" s="70"/>
      <c r="G83" s="70"/>
      <c r="H83" s="70"/>
      <c r="I83" s="51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ht="15.75" customHeight="1">
      <c r="A84" s="3"/>
      <c r="B84" s="3"/>
      <c r="C84" s="70"/>
      <c r="D84" s="3"/>
      <c r="E84" s="3"/>
      <c r="F84" s="3"/>
      <c r="G84" s="3"/>
      <c r="H84" s="3"/>
      <c r="I84" s="51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51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ht="15.75" customHeight="1">
      <c r="A86" s="3"/>
      <c r="B86" s="3"/>
      <c r="C86" s="23"/>
      <c r="D86" s="3"/>
      <c r="E86" s="3"/>
      <c r="F86" s="3"/>
      <c r="G86" s="3"/>
      <c r="H86" s="3"/>
      <c r="I86" s="51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51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51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51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51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51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51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51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51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51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51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51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51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51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51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51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51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51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51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51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51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51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51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51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51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51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51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51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51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51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51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51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51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51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51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51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51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51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51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51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51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51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51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51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51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51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51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51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51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51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51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51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51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51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51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51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51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51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51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51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51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51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51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51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51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51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51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51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51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51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51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51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51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51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51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51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51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51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51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51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51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51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51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51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51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51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51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51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51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51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51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51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51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51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51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51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51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51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51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51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51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51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51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51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51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51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51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51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51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51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51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51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51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51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51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51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51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51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51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51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51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51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51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51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51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51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51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51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51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51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51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51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51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51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51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51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51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51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51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51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51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51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51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51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51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51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51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51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51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51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51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51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51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51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51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51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51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51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51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51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51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51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51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51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51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51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51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51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51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51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51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51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51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51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51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51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51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51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51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51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51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51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51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51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51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51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51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51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51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51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51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51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51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51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51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24.38"/>
    <col customWidth="1" min="3" max="3" width="19.0"/>
    <col customWidth="1" min="4" max="6" width="10.25"/>
    <col customWidth="1" min="7" max="7" width="5.13"/>
    <col customWidth="1" min="9" max="9" width="16.75"/>
  </cols>
  <sheetData>
    <row r="1" ht="15.75" customHeight="1">
      <c r="A1" s="3"/>
      <c r="B1" s="3" t="s">
        <v>123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87" t="s">
        <v>124</v>
      </c>
      <c r="I1" s="88" t="s">
        <v>125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54">
        <v>1.0</v>
      </c>
      <c r="B2" s="36" t="s">
        <v>126</v>
      </c>
      <c r="C2" s="89">
        <v>600000.0</v>
      </c>
      <c r="D2" s="3"/>
      <c r="E2" s="36"/>
      <c r="F2" s="36"/>
      <c r="G2" s="36"/>
      <c r="H2" s="90">
        <f t="shared" ref="H2:H7" si="1">SUM(C2:G2)</f>
        <v>600000</v>
      </c>
      <c r="I2" s="9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54">
        <v>2.0</v>
      </c>
      <c r="B3" s="36" t="s">
        <v>127</v>
      </c>
      <c r="C3" s="92">
        <v>75000.0</v>
      </c>
      <c r="D3" s="36"/>
      <c r="E3" s="36"/>
      <c r="F3" s="36"/>
      <c r="G3" s="36"/>
      <c r="H3" s="90">
        <f t="shared" si="1"/>
        <v>75000</v>
      </c>
      <c r="I3" s="9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54">
        <v>3.0</v>
      </c>
      <c r="B4" s="36" t="s">
        <v>128</v>
      </c>
      <c r="C4" s="89">
        <v>750000.0</v>
      </c>
      <c r="D4" s="36"/>
      <c r="E4" s="36"/>
      <c r="F4" s="36"/>
      <c r="G4" s="36"/>
      <c r="H4" s="90">
        <f t="shared" si="1"/>
        <v>750000</v>
      </c>
      <c r="I4" s="9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9">
        <v>4.0</v>
      </c>
      <c r="B5" s="50" t="s">
        <v>129</v>
      </c>
      <c r="C5" s="36"/>
      <c r="D5" s="92">
        <v>400000.0</v>
      </c>
      <c r="E5" s="36"/>
      <c r="F5" s="3"/>
      <c r="G5" s="3"/>
      <c r="H5" s="90">
        <f t="shared" si="1"/>
        <v>400000</v>
      </c>
      <c r="I5" s="94">
        <v>46035.0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50">
        <v>5.0</v>
      </c>
      <c r="B6" s="50" t="s">
        <v>130</v>
      </c>
      <c r="C6" s="36"/>
      <c r="D6" s="36"/>
      <c r="E6" s="36"/>
      <c r="F6" s="92">
        <v>200000.0</v>
      </c>
      <c r="G6" s="36"/>
      <c r="H6" s="90">
        <f t="shared" si="1"/>
        <v>200000</v>
      </c>
      <c r="I6" s="95">
        <v>46035.0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50">
        <v>6.0</v>
      </c>
      <c r="B7" s="50" t="s">
        <v>131</v>
      </c>
      <c r="C7" s="3"/>
      <c r="D7" s="3"/>
      <c r="E7" s="92">
        <v>150000.0</v>
      </c>
      <c r="F7" s="3"/>
      <c r="G7" s="3"/>
      <c r="H7" s="90">
        <f t="shared" si="1"/>
        <v>150000</v>
      </c>
      <c r="I7" s="94">
        <v>46047.0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3"/>
      <c r="E8" s="92"/>
      <c r="F8" s="3"/>
      <c r="G8" s="3"/>
      <c r="H8" s="3"/>
      <c r="I8" s="9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6"/>
      <c r="D9" s="36"/>
      <c r="E9" s="36"/>
      <c r="F9" s="36"/>
      <c r="G9" s="36"/>
      <c r="H9" s="87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6"/>
      <c r="D10" s="36"/>
      <c r="E10" s="36"/>
      <c r="F10" s="36"/>
      <c r="G10" s="36"/>
      <c r="H10" s="87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6"/>
      <c r="D11" s="36"/>
      <c r="E11" s="36"/>
      <c r="F11" s="36"/>
      <c r="G11" s="36"/>
      <c r="H11" s="87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6"/>
      <c r="D12" s="36"/>
      <c r="E12" s="36"/>
      <c r="F12" s="36"/>
      <c r="G12" s="36"/>
      <c r="H12" s="87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6"/>
      <c r="D13" s="36"/>
      <c r="E13" s="36"/>
      <c r="F13" s="36"/>
      <c r="G13" s="36"/>
      <c r="H13" s="87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6"/>
      <c r="D14" s="36"/>
      <c r="E14" s="36"/>
      <c r="F14" s="36"/>
      <c r="G14" s="36"/>
      <c r="H14" s="87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6"/>
      <c r="D15" s="36"/>
      <c r="E15" s="36"/>
      <c r="F15" s="36"/>
      <c r="G15" s="36"/>
      <c r="H15" s="8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6"/>
      <c r="D16" s="36"/>
      <c r="E16" s="36"/>
      <c r="F16" s="36"/>
      <c r="G16" s="36"/>
      <c r="H16" s="8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6"/>
      <c r="D17" s="36"/>
      <c r="E17" s="36"/>
      <c r="F17" s="36"/>
      <c r="G17" s="36"/>
      <c r="H17" s="87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6"/>
      <c r="D18" s="36"/>
      <c r="E18" s="36"/>
      <c r="F18" s="36"/>
      <c r="G18" s="36"/>
      <c r="H18" s="8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6"/>
      <c r="D19" s="36"/>
      <c r="E19" s="36"/>
      <c r="F19" s="36"/>
      <c r="G19" s="36"/>
      <c r="H19" s="87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6"/>
      <c r="D20" s="36"/>
      <c r="E20" s="36"/>
      <c r="F20" s="36"/>
      <c r="G20" s="36"/>
      <c r="H20" s="8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6"/>
      <c r="D21" s="36"/>
      <c r="E21" s="36"/>
      <c r="F21" s="36"/>
      <c r="G21" s="36"/>
      <c r="H21" s="8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6"/>
      <c r="D22" s="36"/>
      <c r="E22" s="36"/>
      <c r="F22" s="36"/>
      <c r="G22" s="36"/>
      <c r="H22" s="87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6"/>
      <c r="D23" s="36"/>
      <c r="E23" s="36"/>
      <c r="F23" s="36"/>
      <c r="G23" s="36"/>
      <c r="H23" s="87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6"/>
      <c r="D24" s="36"/>
      <c r="E24" s="36"/>
      <c r="F24" s="36"/>
      <c r="G24" s="36"/>
      <c r="H24" s="87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6"/>
      <c r="D25" s="36"/>
      <c r="E25" s="36"/>
      <c r="F25" s="36"/>
      <c r="G25" s="36"/>
      <c r="H25" s="87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6"/>
      <c r="D26" s="36"/>
      <c r="E26" s="36"/>
      <c r="F26" s="36"/>
      <c r="G26" s="36"/>
      <c r="H26" s="87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6"/>
      <c r="D27" s="36"/>
      <c r="E27" s="36"/>
      <c r="F27" s="36"/>
      <c r="G27" s="36"/>
      <c r="H27" s="87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6"/>
      <c r="D28" s="36"/>
      <c r="E28" s="36"/>
      <c r="F28" s="36"/>
      <c r="G28" s="36"/>
      <c r="H28" s="87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6"/>
      <c r="D29" s="36"/>
      <c r="E29" s="36"/>
      <c r="F29" s="36"/>
      <c r="G29" s="36"/>
      <c r="H29" s="8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6"/>
      <c r="D30" s="36"/>
      <c r="E30" s="36"/>
      <c r="F30" s="36"/>
      <c r="G30" s="36"/>
      <c r="H30" s="87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6"/>
      <c r="D31" s="36"/>
      <c r="E31" s="36"/>
      <c r="F31" s="36"/>
      <c r="G31" s="36"/>
      <c r="H31" s="8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6"/>
      <c r="D32" s="36"/>
      <c r="E32" s="36"/>
      <c r="F32" s="36"/>
      <c r="G32" s="36"/>
      <c r="H32" s="87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6"/>
      <c r="D33" s="36"/>
      <c r="E33" s="36"/>
      <c r="F33" s="36"/>
      <c r="G33" s="36"/>
      <c r="H33" s="87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6"/>
      <c r="D34" s="3"/>
      <c r="E34" s="3"/>
      <c r="F34" s="3"/>
      <c r="G34" s="3"/>
      <c r="H34" s="87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 t="s">
        <v>9</v>
      </c>
      <c r="C35" s="89">
        <f t="shared" ref="C35:H35" si="2">SUM(C2:C34)</f>
        <v>1425000</v>
      </c>
      <c r="D35" s="89">
        <f t="shared" si="2"/>
        <v>400000</v>
      </c>
      <c r="E35" s="89">
        <f t="shared" si="2"/>
        <v>150000</v>
      </c>
      <c r="F35" s="89">
        <f t="shared" si="2"/>
        <v>200000</v>
      </c>
      <c r="G35" s="89">
        <f t="shared" si="2"/>
        <v>0</v>
      </c>
      <c r="H35" s="90">
        <f t="shared" si="2"/>
        <v>2175000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87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87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87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87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87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87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8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87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87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87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87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87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87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87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87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87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87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87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87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87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87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87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87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87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87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87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87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87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87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87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87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87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87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87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87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87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87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87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87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87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87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87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87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87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87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87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87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87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87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87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87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87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87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87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87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87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87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87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87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87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87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87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87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87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87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87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87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87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87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87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87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87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87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87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87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87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87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87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87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87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87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87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87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87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87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87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87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87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87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87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87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87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87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87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87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87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87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87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87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87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87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87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87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87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87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87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87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87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87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87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87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87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87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87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87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87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87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87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87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87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87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87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87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87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87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87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87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87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87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87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87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87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87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87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87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87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87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87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87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87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87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87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87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87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87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87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87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87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87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87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87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87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87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87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87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87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87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87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87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87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87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87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87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87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87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87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87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87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87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87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87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87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87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87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87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87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87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87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87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87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87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87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87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87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87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87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87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87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87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87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87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87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87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87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87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87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87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87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87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87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54.0"/>
    <col customWidth="1" min="3" max="3" width="19.0"/>
    <col customWidth="1" min="4" max="6" width="12.63"/>
  </cols>
  <sheetData>
    <row r="1" ht="15.75" customHeight="1">
      <c r="A1" s="3"/>
      <c r="B1" s="3" t="s">
        <v>123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87" t="s">
        <v>124</v>
      </c>
      <c r="I1" s="88" t="s">
        <v>125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54">
        <v>1.0</v>
      </c>
      <c r="B2" s="36" t="s">
        <v>126</v>
      </c>
      <c r="C2" s="89">
        <v>600000.0</v>
      </c>
      <c r="D2" s="3"/>
      <c r="E2" s="36"/>
      <c r="F2" s="36"/>
      <c r="G2" s="36"/>
      <c r="H2" s="90">
        <f t="shared" ref="H2:H7" si="1">SUM(C2:G2)</f>
        <v>600000</v>
      </c>
      <c r="I2" s="9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54">
        <v>2.0</v>
      </c>
      <c r="B3" s="36" t="s">
        <v>127</v>
      </c>
      <c r="C3" s="92">
        <v>75000.0</v>
      </c>
      <c r="D3" s="36"/>
      <c r="E3" s="36"/>
      <c r="F3" s="36"/>
      <c r="G3" s="36"/>
      <c r="H3" s="90">
        <f t="shared" si="1"/>
        <v>75000</v>
      </c>
      <c r="I3" s="9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54">
        <v>3.0</v>
      </c>
      <c r="B4" s="36" t="s">
        <v>128</v>
      </c>
      <c r="C4" s="89">
        <v>750000.0</v>
      </c>
      <c r="D4" s="36"/>
      <c r="E4" s="36"/>
      <c r="F4" s="36"/>
      <c r="G4" s="36"/>
      <c r="H4" s="90">
        <f t="shared" si="1"/>
        <v>750000</v>
      </c>
      <c r="I4" s="9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9">
        <v>4.0</v>
      </c>
      <c r="B5" s="50" t="s">
        <v>132</v>
      </c>
      <c r="C5" s="89">
        <v>750000.0</v>
      </c>
      <c r="D5" s="3"/>
      <c r="E5" s="92"/>
      <c r="F5" s="89"/>
      <c r="G5" s="3"/>
      <c r="H5" s="90">
        <f t="shared" si="1"/>
        <v>750000</v>
      </c>
      <c r="I5" s="95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69">
        <v>5.0</v>
      </c>
      <c r="B6" s="50" t="s">
        <v>133</v>
      </c>
      <c r="C6" s="89">
        <v>600000.0</v>
      </c>
      <c r="D6" s="89"/>
      <c r="E6" s="89"/>
      <c r="F6" s="3"/>
      <c r="G6" s="3"/>
      <c r="H6" s="90">
        <f t="shared" si="1"/>
        <v>600000</v>
      </c>
      <c r="I6" s="9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69">
        <v>6.0</v>
      </c>
      <c r="B7" s="50" t="s">
        <v>134</v>
      </c>
      <c r="C7" s="3"/>
      <c r="D7" s="50"/>
      <c r="E7" s="92">
        <v>900000.0</v>
      </c>
      <c r="F7" s="3"/>
      <c r="G7" s="3"/>
      <c r="H7" s="90">
        <f t="shared" si="1"/>
        <v>900000</v>
      </c>
      <c r="I7" s="96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54"/>
      <c r="B8" s="50"/>
      <c r="C8" s="3"/>
      <c r="D8" s="89"/>
      <c r="E8" s="89"/>
      <c r="F8" s="3"/>
      <c r="G8" s="3"/>
      <c r="H8" s="90"/>
      <c r="I8" s="9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54"/>
      <c r="B9" s="50"/>
      <c r="C9" s="36"/>
      <c r="D9" s="36"/>
      <c r="E9" s="76"/>
      <c r="F9" s="89"/>
      <c r="G9" s="36"/>
      <c r="H9" s="90"/>
      <c r="I9" s="97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54"/>
      <c r="B10" s="3"/>
      <c r="C10" s="36"/>
      <c r="D10" s="36"/>
      <c r="E10" s="89"/>
      <c r="F10" s="36"/>
      <c r="G10" s="36"/>
      <c r="H10" s="90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6"/>
      <c r="D11" s="36"/>
      <c r="E11" s="36"/>
      <c r="F11" s="36"/>
      <c r="G11" s="36"/>
      <c r="H11" s="87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6"/>
      <c r="D12" s="36"/>
      <c r="E12" s="36"/>
      <c r="F12" s="36"/>
      <c r="G12" s="36"/>
      <c r="H12" s="87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6"/>
      <c r="D13" s="36"/>
      <c r="E13" s="36"/>
      <c r="F13" s="36"/>
      <c r="G13" s="36"/>
      <c r="H13" s="87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6"/>
      <c r="D14" s="36"/>
      <c r="E14" s="36"/>
      <c r="F14" s="36"/>
      <c r="G14" s="36"/>
      <c r="H14" s="87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6"/>
      <c r="D15" s="36"/>
      <c r="E15" s="36"/>
      <c r="F15" s="36"/>
      <c r="G15" s="36"/>
      <c r="H15" s="8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6"/>
      <c r="D16" s="36"/>
      <c r="E16" s="36"/>
      <c r="F16" s="36"/>
      <c r="G16" s="36"/>
      <c r="H16" s="8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6"/>
      <c r="D17" s="36"/>
      <c r="E17" s="36"/>
      <c r="F17" s="36"/>
      <c r="G17" s="36"/>
      <c r="H17" s="87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6"/>
      <c r="D18" s="36"/>
      <c r="E18" s="36"/>
      <c r="F18" s="36"/>
      <c r="G18" s="36"/>
      <c r="H18" s="8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6"/>
      <c r="D19" s="36"/>
      <c r="E19" s="36"/>
      <c r="F19" s="36"/>
      <c r="G19" s="36"/>
      <c r="H19" s="87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6"/>
      <c r="D20" s="36"/>
      <c r="E20" s="36"/>
      <c r="F20" s="36"/>
      <c r="G20" s="36"/>
      <c r="H20" s="8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6"/>
      <c r="D21" s="36"/>
      <c r="E21" s="36"/>
      <c r="F21" s="36"/>
      <c r="G21" s="36"/>
      <c r="H21" s="8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6"/>
      <c r="D22" s="36"/>
      <c r="E22" s="36"/>
      <c r="F22" s="36"/>
      <c r="G22" s="36"/>
      <c r="H22" s="87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6"/>
      <c r="D23" s="36"/>
      <c r="E23" s="36"/>
      <c r="F23" s="36"/>
      <c r="G23" s="36"/>
      <c r="H23" s="87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6"/>
      <c r="D24" s="36"/>
      <c r="E24" s="36"/>
      <c r="F24" s="36"/>
      <c r="G24" s="36"/>
      <c r="H24" s="87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6"/>
      <c r="D25" s="36"/>
      <c r="E25" s="36"/>
      <c r="F25" s="36"/>
      <c r="G25" s="36"/>
      <c r="H25" s="87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6"/>
      <c r="D26" s="36"/>
      <c r="E26" s="36"/>
      <c r="F26" s="36"/>
      <c r="G26" s="36"/>
      <c r="H26" s="87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6"/>
      <c r="D27" s="36"/>
      <c r="E27" s="36"/>
      <c r="F27" s="36"/>
      <c r="G27" s="36"/>
      <c r="H27" s="87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6"/>
      <c r="D28" s="36"/>
      <c r="E28" s="36"/>
      <c r="F28" s="36"/>
      <c r="G28" s="36"/>
      <c r="H28" s="87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6"/>
      <c r="D29" s="36"/>
      <c r="E29" s="36"/>
      <c r="F29" s="36"/>
      <c r="G29" s="36"/>
      <c r="H29" s="8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6"/>
      <c r="D30" s="36"/>
      <c r="E30" s="36"/>
      <c r="F30" s="36"/>
      <c r="G30" s="36"/>
      <c r="H30" s="87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6"/>
      <c r="D31" s="36"/>
      <c r="E31" s="36"/>
      <c r="F31" s="36"/>
      <c r="G31" s="36"/>
      <c r="H31" s="8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6"/>
      <c r="D32" s="36"/>
      <c r="E32" s="36"/>
      <c r="F32" s="36"/>
      <c r="G32" s="36"/>
      <c r="H32" s="87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6"/>
      <c r="D33" s="36"/>
      <c r="E33" s="36"/>
      <c r="F33" s="36"/>
      <c r="G33" s="36"/>
      <c r="H33" s="87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6"/>
      <c r="D34" s="3"/>
      <c r="E34" s="3"/>
      <c r="F34" s="3"/>
      <c r="G34" s="3"/>
      <c r="H34" s="87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 t="s">
        <v>9</v>
      </c>
      <c r="C35" s="89">
        <f t="shared" ref="C35:H35" si="2">SUM(C2:C34)</f>
        <v>2775000</v>
      </c>
      <c r="D35" s="89">
        <f t="shared" si="2"/>
        <v>0</v>
      </c>
      <c r="E35" s="89">
        <f t="shared" si="2"/>
        <v>900000</v>
      </c>
      <c r="F35" s="89">
        <f t="shared" si="2"/>
        <v>0</v>
      </c>
      <c r="G35" s="89">
        <f t="shared" si="2"/>
        <v>0</v>
      </c>
      <c r="H35" s="90">
        <f t="shared" si="2"/>
        <v>3675000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87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87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87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87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87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87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8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87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87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87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87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87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87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87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87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87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87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87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87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87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87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87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87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87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87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87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87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87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87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87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87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87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87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87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87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87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87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87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87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87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87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87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87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87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87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87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87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87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87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87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87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87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87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87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87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87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87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87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87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87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87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87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87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87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87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87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87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87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87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87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87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87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87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87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87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87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87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87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87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87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87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87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87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87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87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87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87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87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87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87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87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87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87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87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87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87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87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87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87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87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87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87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87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87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87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87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87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87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87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87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87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87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87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87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87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87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87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87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87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87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87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87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87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87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87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87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87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87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87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87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87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87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87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87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87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87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87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87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87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87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87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87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87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87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87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87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87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87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87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87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87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87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87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87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87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87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87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87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87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87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87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87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87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87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87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87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87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87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87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87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87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87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87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87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87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87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87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87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87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87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87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87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87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87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87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87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87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87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87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87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87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87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87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87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87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87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87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87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87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87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21.38"/>
    <col customWidth="1" min="3" max="3" width="19.0"/>
    <col customWidth="1" min="4" max="4" width="10.25"/>
    <col customWidth="1" min="5" max="6" width="12.63"/>
  </cols>
  <sheetData>
    <row r="1" ht="15.75" customHeight="1">
      <c r="A1" s="3"/>
      <c r="B1" s="3" t="s">
        <v>123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87" t="s">
        <v>124</v>
      </c>
      <c r="I1" s="88" t="s">
        <v>125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54">
        <v>1.0</v>
      </c>
      <c r="B2" s="36" t="s">
        <v>126</v>
      </c>
      <c r="C2" s="89">
        <v>600000.0</v>
      </c>
      <c r="D2" s="3"/>
      <c r="E2" s="36"/>
      <c r="F2" s="36"/>
      <c r="G2" s="36"/>
      <c r="H2" s="90">
        <f t="shared" ref="H2:H6" si="1">SUM(C2:G2)</f>
        <v>600000</v>
      </c>
      <c r="I2" s="9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54">
        <v>2.0</v>
      </c>
      <c r="B3" s="36" t="s">
        <v>127</v>
      </c>
      <c r="C3" s="92">
        <v>75000.0</v>
      </c>
      <c r="D3" s="36"/>
      <c r="E3" s="36"/>
      <c r="F3" s="36"/>
      <c r="G3" s="36"/>
      <c r="H3" s="90">
        <f t="shared" si="1"/>
        <v>75000</v>
      </c>
      <c r="I3" s="9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54">
        <v>3.0</v>
      </c>
      <c r="B4" s="36" t="s">
        <v>128</v>
      </c>
      <c r="C4" s="89">
        <v>750000.0</v>
      </c>
      <c r="D4" s="36"/>
      <c r="E4" s="36"/>
      <c r="F4" s="36"/>
      <c r="G4" s="36"/>
      <c r="H4" s="90">
        <f t="shared" si="1"/>
        <v>750000</v>
      </c>
      <c r="I4" s="9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9">
        <v>4.0</v>
      </c>
      <c r="B5" s="50" t="s">
        <v>135</v>
      </c>
      <c r="C5" s="89"/>
      <c r="D5" s="92">
        <v>400000.0</v>
      </c>
      <c r="E5" s="89"/>
      <c r="F5" s="89"/>
      <c r="G5" s="3"/>
      <c r="H5" s="90">
        <f t="shared" si="1"/>
        <v>400000</v>
      </c>
      <c r="I5" s="95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69">
        <v>5.0</v>
      </c>
      <c r="B6" s="76" t="s">
        <v>136</v>
      </c>
      <c r="C6" s="89"/>
      <c r="D6" s="36"/>
      <c r="E6" s="36"/>
      <c r="F6" s="76">
        <v>200000.0</v>
      </c>
      <c r="G6" s="36"/>
      <c r="H6" s="90">
        <f t="shared" si="1"/>
        <v>200000</v>
      </c>
      <c r="I6" s="9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C7" s="92"/>
      <c r="H7" s="90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69"/>
      <c r="B8" s="50"/>
      <c r="C8" s="92"/>
      <c r="D8" s="36"/>
      <c r="E8" s="3"/>
      <c r="F8" s="3"/>
      <c r="G8" s="3"/>
      <c r="H8" s="90"/>
      <c r="I8" s="9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6"/>
      <c r="D9" s="36"/>
      <c r="E9" s="36"/>
      <c r="F9" s="36"/>
      <c r="G9" s="36"/>
      <c r="H9" s="98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6"/>
      <c r="D10" s="36"/>
      <c r="E10" s="36"/>
      <c r="F10" s="36"/>
      <c r="G10" s="36"/>
      <c r="H10" s="98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6"/>
      <c r="D11" s="36"/>
      <c r="E11" s="36"/>
      <c r="F11" s="36"/>
      <c r="G11" s="36"/>
      <c r="H11" s="87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6"/>
      <c r="D12" s="36"/>
      <c r="E12" s="36"/>
      <c r="F12" s="36"/>
      <c r="G12" s="36"/>
      <c r="H12" s="87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6"/>
      <c r="D13" s="36"/>
      <c r="E13" s="36"/>
      <c r="F13" s="36"/>
      <c r="G13" s="36"/>
      <c r="H13" s="87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6"/>
      <c r="D14" s="36"/>
      <c r="E14" s="36"/>
      <c r="F14" s="36"/>
      <c r="G14" s="36"/>
      <c r="H14" s="87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6"/>
      <c r="D15" s="36"/>
      <c r="E15" s="36"/>
      <c r="F15" s="36"/>
      <c r="G15" s="36"/>
      <c r="H15" s="8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6"/>
      <c r="D16" s="36"/>
      <c r="E16" s="36"/>
      <c r="F16" s="36"/>
      <c r="G16" s="36"/>
      <c r="H16" s="8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6"/>
      <c r="D17" s="36"/>
      <c r="E17" s="36"/>
      <c r="F17" s="36"/>
      <c r="G17" s="36"/>
      <c r="H17" s="87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6"/>
      <c r="D18" s="36"/>
      <c r="E18" s="36"/>
      <c r="F18" s="36"/>
      <c r="G18" s="36"/>
      <c r="H18" s="8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6"/>
      <c r="D19" s="36"/>
      <c r="E19" s="36"/>
      <c r="F19" s="36"/>
      <c r="G19" s="36"/>
      <c r="H19" s="87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6"/>
      <c r="D20" s="36"/>
      <c r="E20" s="36"/>
      <c r="F20" s="36"/>
      <c r="G20" s="36"/>
      <c r="H20" s="8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6"/>
      <c r="D21" s="36"/>
      <c r="E21" s="36"/>
      <c r="F21" s="36"/>
      <c r="G21" s="36"/>
      <c r="H21" s="8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6"/>
      <c r="D22" s="36"/>
      <c r="E22" s="36"/>
      <c r="F22" s="36"/>
      <c r="G22" s="36"/>
      <c r="H22" s="87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6"/>
      <c r="D23" s="36"/>
      <c r="E23" s="36"/>
      <c r="F23" s="36"/>
      <c r="G23" s="36"/>
      <c r="H23" s="87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6"/>
      <c r="D24" s="36"/>
      <c r="E24" s="36"/>
      <c r="F24" s="36"/>
      <c r="G24" s="36"/>
      <c r="H24" s="87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6"/>
      <c r="D25" s="36"/>
      <c r="E25" s="36"/>
      <c r="F25" s="36"/>
      <c r="G25" s="36"/>
      <c r="H25" s="87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6"/>
      <c r="D26" s="36"/>
      <c r="E26" s="36"/>
      <c r="F26" s="36"/>
      <c r="G26" s="36"/>
      <c r="H26" s="87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6"/>
      <c r="D27" s="36"/>
      <c r="E27" s="36"/>
      <c r="F27" s="36"/>
      <c r="G27" s="36"/>
      <c r="H27" s="87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6"/>
      <c r="D28" s="36"/>
      <c r="E28" s="36"/>
      <c r="F28" s="36"/>
      <c r="G28" s="36"/>
      <c r="H28" s="87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6"/>
      <c r="D29" s="36"/>
      <c r="E29" s="36"/>
      <c r="F29" s="36"/>
      <c r="G29" s="36"/>
      <c r="H29" s="8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6"/>
      <c r="D30" s="36"/>
      <c r="E30" s="36"/>
      <c r="F30" s="36"/>
      <c r="G30" s="36"/>
      <c r="H30" s="87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6"/>
      <c r="D31" s="36"/>
      <c r="E31" s="36"/>
      <c r="F31" s="36"/>
      <c r="G31" s="36"/>
      <c r="H31" s="8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6"/>
      <c r="D32" s="36"/>
      <c r="E32" s="36"/>
      <c r="F32" s="36"/>
      <c r="G32" s="36"/>
      <c r="H32" s="87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6"/>
      <c r="D33" s="36"/>
      <c r="E33" s="36"/>
      <c r="F33" s="36"/>
      <c r="G33" s="36"/>
      <c r="H33" s="87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6"/>
      <c r="D34" s="3"/>
      <c r="E34" s="3"/>
      <c r="F34" s="3"/>
      <c r="G34" s="3"/>
      <c r="H34" s="87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 t="s">
        <v>9</v>
      </c>
      <c r="C35" s="89">
        <f t="shared" ref="C35:H35" si="2">SUM(C2:C34)</f>
        <v>1425000</v>
      </c>
      <c r="D35" s="89">
        <f t="shared" si="2"/>
        <v>400000</v>
      </c>
      <c r="E35" s="89">
        <f t="shared" si="2"/>
        <v>0</v>
      </c>
      <c r="F35" s="89">
        <f t="shared" si="2"/>
        <v>200000</v>
      </c>
      <c r="G35" s="89">
        <f t="shared" si="2"/>
        <v>0</v>
      </c>
      <c r="H35" s="90">
        <f t="shared" si="2"/>
        <v>2025000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87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87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87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87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87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87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8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87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87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87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87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87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87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87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87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87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87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87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87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87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87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87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87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87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87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87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87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87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87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87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87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87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87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87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87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87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87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87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87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87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87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87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87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87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87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87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87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87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87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87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87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87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87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87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87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87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87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87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87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87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87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87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87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87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87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87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87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87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87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87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87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87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87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87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87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87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87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87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87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87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87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87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87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87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87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87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87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87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87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87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87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87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87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87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87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87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87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87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87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87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87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87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87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87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87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87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87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87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87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87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87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87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87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87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87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87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87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87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87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87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87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87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87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87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87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87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87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87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87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87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87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87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87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87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87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87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87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87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87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87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87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87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87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87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87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87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87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87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87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87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87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87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87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87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87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87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87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87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87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87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87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87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87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87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87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87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87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87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87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87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87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87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87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87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87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87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87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87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87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87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87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87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87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87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87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87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87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87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87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87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87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87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87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87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87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87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87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87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87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87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21.38"/>
    <col customWidth="1" min="3" max="3" width="19.0"/>
    <col customWidth="1" min="4" max="6" width="12.63"/>
  </cols>
  <sheetData>
    <row r="1" ht="15.75" customHeight="1">
      <c r="A1" s="3"/>
      <c r="B1" s="3" t="s">
        <v>123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87" t="s">
        <v>124</v>
      </c>
      <c r="I1" s="88" t="s">
        <v>125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54">
        <v>1.0</v>
      </c>
      <c r="B2" s="36" t="s">
        <v>126</v>
      </c>
      <c r="C2" s="89">
        <v>600000.0</v>
      </c>
      <c r="D2" s="3"/>
      <c r="E2" s="36"/>
      <c r="F2" s="36"/>
      <c r="G2" s="36"/>
      <c r="H2" s="90">
        <f t="shared" ref="H2:H5" si="1">SUM(C2:G2)</f>
        <v>600000</v>
      </c>
      <c r="I2" s="9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54">
        <v>2.0</v>
      </c>
      <c r="B3" s="36" t="s">
        <v>127</v>
      </c>
      <c r="C3" s="92">
        <v>75000.0</v>
      </c>
      <c r="D3" s="36"/>
      <c r="E3" s="36"/>
      <c r="F3" s="36"/>
      <c r="G3" s="36"/>
      <c r="H3" s="90">
        <f t="shared" si="1"/>
        <v>75000</v>
      </c>
      <c r="I3" s="9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54">
        <v>3.0</v>
      </c>
      <c r="B4" s="36" t="s">
        <v>128</v>
      </c>
      <c r="C4" s="89">
        <v>750000.0</v>
      </c>
      <c r="D4" s="36"/>
      <c r="E4" s="36"/>
      <c r="F4" s="36"/>
      <c r="G4" s="36"/>
      <c r="H4" s="90">
        <f t="shared" si="1"/>
        <v>750000</v>
      </c>
      <c r="I4" s="9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9">
        <v>4.0</v>
      </c>
      <c r="B5" s="76" t="s">
        <v>137</v>
      </c>
      <c r="C5" s="89"/>
      <c r="D5" s="3"/>
      <c r="E5" s="92">
        <v>1970000.0</v>
      </c>
      <c r="F5" s="36"/>
      <c r="G5" s="36"/>
      <c r="H5" s="90">
        <f t="shared" si="1"/>
        <v>1970000</v>
      </c>
      <c r="I5" s="94">
        <v>46125.0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54"/>
      <c r="B6" s="36"/>
      <c r="C6" s="92"/>
      <c r="D6" s="36"/>
      <c r="E6" s="36"/>
      <c r="F6" s="36"/>
      <c r="G6" s="36"/>
      <c r="H6" s="90"/>
      <c r="I6" s="9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54"/>
      <c r="B7" s="36"/>
      <c r="C7" s="89"/>
      <c r="D7" s="36"/>
      <c r="E7" s="36"/>
      <c r="F7" s="36"/>
      <c r="G7" s="36"/>
      <c r="H7" s="90"/>
      <c r="I7" s="96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36"/>
      <c r="E8" s="3"/>
      <c r="F8" s="3"/>
      <c r="G8" s="3"/>
      <c r="H8" s="36"/>
      <c r="I8" s="9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6"/>
      <c r="D9" s="36"/>
      <c r="E9" s="36"/>
      <c r="F9" s="36"/>
      <c r="G9" s="36"/>
      <c r="H9" s="36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6"/>
      <c r="D10" s="36"/>
      <c r="E10" s="36"/>
      <c r="F10" s="36"/>
      <c r="G10" s="36"/>
      <c r="H10" s="87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6"/>
      <c r="D11" s="36"/>
      <c r="E11" s="36"/>
      <c r="F11" s="36"/>
      <c r="G11" s="36"/>
      <c r="H11" s="87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6"/>
      <c r="D12" s="36"/>
      <c r="E12" s="36"/>
      <c r="F12" s="36"/>
      <c r="G12" s="36"/>
      <c r="H12" s="87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6"/>
      <c r="D13" s="36"/>
      <c r="E13" s="36"/>
      <c r="F13" s="36"/>
      <c r="G13" s="36"/>
      <c r="H13" s="87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6"/>
      <c r="D14" s="36"/>
      <c r="E14" s="36"/>
      <c r="F14" s="36"/>
      <c r="G14" s="36"/>
      <c r="H14" s="87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6"/>
      <c r="D15" s="36"/>
      <c r="E15" s="36"/>
      <c r="F15" s="36"/>
      <c r="G15" s="36"/>
      <c r="H15" s="8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6"/>
      <c r="D16" s="36"/>
      <c r="E16" s="36"/>
      <c r="F16" s="36"/>
      <c r="G16" s="36"/>
      <c r="H16" s="8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6"/>
      <c r="D17" s="36"/>
      <c r="E17" s="36"/>
      <c r="F17" s="36"/>
      <c r="G17" s="36"/>
      <c r="H17" s="87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6"/>
      <c r="D18" s="36"/>
      <c r="E18" s="36"/>
      <c r="F18" s="36"/>
      <c r="G18" s="36"/>
      <c r="H18" s="8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6"/>
      <c r="D19" s="36"/>
      <c r="E19" s="36"/>
      <c r="F19" s="36"/>
      <c r="G19" s="36"/>
      <c r="H19" s="87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6"/>
      <c r="D20" s="36"/>
      <c r="E20" s="36"/>
      <c r="F20" s="36"/>
      <c r="G20" s="36"/>
      <c r="H20" s="8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6"/>
      <c r="D21" s="36"/>
      <c r="E21" s="36"/>
      <c r="F21" s="36"/>
      <c r="G21" s="36"/>
      <c r="H21" s="8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6"/>
      <c r="D22" s="36"/>
      <c r="E22" s="36"/>
      <c r="F22" s="36"/>
      <c r="G22" s="36"/>
      <c r="H22" s="87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6"/>
      <c r="D23" s="36"/>
      <c r="E23" s="36"/>
      <c r="F23" s="36"/>
      <c r="G23" s="36"/>
      <c r="H23" s="87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6"/>
      <c r="D24" s="36"/>
      <c r="E24" s="36"/>
      <c r="F24" s="36"/>
      <c r="G24" s="36"/>
      <c r="H24" s="87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6"/>
      <c r="D25" s="36"/>
      <c r="E25" s="36"/>
      <c r="F25" s="36"/>
      <c r="G25" s="36"/>
      <c r="H25" s="87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6"/>
      <c r="D26" s="36"/>
      <c r="E26" s="36"/>
      <c r="F26" s="36"/>
      <c r="G26" s="36"/>
      <c r="H26" s="87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6"/>
      <c r="D27" s="36"/>
      <c r="E27" s="36"/>
      <c r="F27" s="36"/>
      <c r="G27" s="36"/>
      <c r="H27" s="87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6"/>
      <c r="D28" s="36"/>
      <c r="E28" s="36"/>
      <c r="F28" s="36"/>
      <c r="G28" s="36"/>
      <c r="H28" s="87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6"/>
      <c r="D29" s="36"/>
      <c r="E29" s="36"/>
      <c r="F29" s="36"/>
      <c r="G29" s="36"/>
      <c r="H29" s="8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6"/>
      <c r="D30" s="36"/>
      <c r="E30" s="36"/>
      <c r="F30" s="36"/>
      <c r="G30" s="36"/>
      <c r="H30" s="87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6"/>
      <c r="D31" s="36"/>
      <c r="E31" s="36"/>
      <c r="F31" s="36"/>
      <c r="G31" s="36"/>
      <c r="H31" s="8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6"/>
      <c r="D32" s="36"/>
      <c r="E32" s="36"/>
      <c r="F32" s="36"/>
      <c r="G32" s="36"/>
      <c r="H32" s="87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6"/>
      <c r="D33" s="36"/>
      <c r="E33" s="36"/>
      <c r="F33" s="36"/>
      <c r="G33" s="36"/>
      <c r="H33" s="87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6"/>
      <c r="D34" s="3"/>
      <c r="E34" s="3"/>
      <c r="F34" s="3"/>
      <c r="G34" s="3"/>
      <c r="H34" s="87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 t="s">
        <v>9</v>
      </c>
      <c r="C35" s="89">
        <f t="shared" ref="C35:H35" si="2">SUM(C2:C34)</f>
        <v>1425000</v>
      </c>
      <c r="D35" s="89">
        <f t="shared" si="2"/>
        <v>0</v>
      </c>
      <c r="E35" s="89">
        <f t="shared" si="2"/>
        <v>1970000</v>
      </c>
      <c r="F35" s="89">
        <f t="shared" si="2"/>
        <v>0</v>
      </c>
      <c r="G35" s="89">
        <f t="shared" si="2"/>
        <v>0</v>
      </c>
      <c r="H35" s="90">
        <f t="shared" si="2"/>
        <v>3395000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87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87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87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87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87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87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8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87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87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87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87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87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87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87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87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87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87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87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87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87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87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87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87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87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87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87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87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87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87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87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87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87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87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87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87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87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87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87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87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87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87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87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87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87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87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87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87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87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87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87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87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87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87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87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87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87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87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87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87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87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87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87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87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87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87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87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87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87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87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87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87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87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87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87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87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87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87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87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87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87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87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87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87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87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87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87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87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87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87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87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87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87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87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87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87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87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87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87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87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87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87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87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87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87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87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87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87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87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87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87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87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87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87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87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87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87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87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87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87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87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87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87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87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87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87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87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87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87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87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87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87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87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87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87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87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87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87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87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87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87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87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87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87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87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87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87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87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87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87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87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87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87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87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87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87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87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87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87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87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87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87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87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87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87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87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87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87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87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87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87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87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87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87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87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87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87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87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87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87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87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87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87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87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87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87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87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87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87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87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87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87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87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87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87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87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87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87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87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87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87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19.88"/>
    <col customWidth="1" min="3" max="3" width="19.0"/>
    <col customWidth="1" min="4" max="6" width="12.63"/>
  </cols>
  <sheetData>
    <row r="1" ht="15.75" customHeight="1">
      <c r="A1" s="3"/>
      <c r="B1" s="3" t="s">
        <v>123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87" t="s">
        <v>124</v>
      </c>
      <c r="I1" s="88" t="s">
        <v>125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54">
        <v>1.0</v>
      </c>
      <c r="B2" s="36" t="s">
        <v>126</v>
      </c>
      <c r="C2" s="89">
        <v>600000.0</v>
      </c>
      <c r="D2" s="3"/>
      <c r="E2" s="36"/>
      <c r="F2" s="36"/>
      <c r="G2" s="36"/>
      <c r="H2" s="90">
        <f t="shared" ref="H2:H6" si="1">SUM(C2:G2)</f>
        <v>600000</v>
      </c>
      <c r="I2" s="9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54">
        <v>2.0</v>
      </c>
      <c r="B3" s="36" t="s">
        <v>127</v>
      </c>
      <c r="C3" s="92">
        <v>75000.0</v>
      </c>
      <c r="D3" s="36"/>
      <c r="E3" s="36"/>
      <c r="F3" s="36"/>
      <c r="G3" s="36"/>
      <c r="H3" s="90">
        <f t="shared" si="1"/>
        <v>75000</v>
      </c>
      <c r="I3" s="9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54">
        <v>3.0</v>
      </c>
      <c r="B4" s="36" t="s">
        <v>128</v>
      </c>
      <c r="C4" s="89">
        <v>750000.0</v>
      </c>
      <c r="D4" s="36"/>
      <c r="E4" s="36"/>
      <c r="F4" s="36"/>
      <c r="G4" s="36"/>
      <c r="H4" s="90">
        <f t="shared" si="1"/>
        <v>750000</v>
      </c>
      <c r="I4" s="9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9">
        <v>4.0</v>
      </c>
      <c r="B5" s="50" t="s">
        <v>138</v>
      </c>
      <c r="C5" s="89"/>
      <c r="D5" s="92">
        <v>400000.0</v>
      </c>
      <c r="E5" s="89"/>
      <c r="F5" s="89"/>
      <c r="G5" s="3"/>
      <c r="H5" s="90">
        <f t="shared" si="1"/>
        <v>400000</v>
      </c>
      <c r="I5" s="95">
        <v>46173.0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69">
        <v>5.0</v>
      </c>
      <c r="B6" s="76" t="s">
        <v>139</v>
      </c>
      <c r="C6" s="89"/>
      <c r="D6" s="36"/>
      <c r="E6" s="36"/>
      <c r="F6" s="76">
        <v>200000.0</v>
      </c>
      <c r="G6" s="36"/>
      <c r="H6" s="90">
        <f t="shared" si="1"/>
        <v>200000</v>
      </c>
      <c r="I6" s="94">
        <v>46173.0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69"/>
      <c r="B7" s="50"/>
      <c r="C7" s="92"/>
      <c r="D7" s="3"/>
      <c r="E7" s="36"/>
      <c r="F7" s="3"/>
      <c r="G7" s="3"/>
      <c r="H7" s="92"/>
      <c r="I7" s="9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36"/>
      <c r="E8" s="3"/>
      <c r="F8" s="3"/>
      <c r="G8" s="3"/>
      <c r="H8" s="36"/>
      <c r="I8" s="9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6"/>
      <c r="D9" s="36"/>
      <c r="E9" s="36"/>
      <c r="F9" s="36"/>
      <c r="G9" s="36"/>
      <c r="H9" s="36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6"/>
      <c r="D10" s="36"/>
      <c r="E10" s="36"/>
      <c r="F10" s="36"/>
      <c r="G10" s="36"/>
      <c r="H10" s="87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6"/>
      <c r="D11" s="36"/>
      <c r="E11" s="36"/>
      <c r="F11" s="36"/>
      <c r="G11" s="36"/>
      <c r="H11" s="87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6"/>
      <c r="D12" s="36"/>
      <c r="E12" s="36"/>
      <c r="F12" s="36"/>
      <c r="G12" s="36"/>
      <c r="H12" s="87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6"/>
      <c r="D13" s="36"/>
      <c r="E13" s="36"/>
      <c r="F13" s="36"/>
      <c r="G13" s="36"/>
      <c r="H13" s="87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6"/>
      <c r="D14" s="36"/>
      <c r="E14" s="36"/>
      <c r="F14" s="36"/>
      <c r="G14" s="36"/>
      <c r="H14" s="87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6"/>
      <c r="D15" s="36"/>
      <c r="E15" s="36"/>
      <c r="F15" s="36"/>
      <c r="G15" s="36"/>
      <c r="H15" s="8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6"/>
      <c r="D16" s="36"/>
      <c r="E16" s="36"/>
      <c r="F16" s="36"/>
      <c r="G16" s="36"/>
      <c r="H16" s="8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6"/>
      <c r="D17" s="36"/>
      <c r="E17" s="36"/>
      <c r="F17" s="36"/>
      <c r="G17" s="36"/>
      <c r="H17" s="87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6"/>
      <c r="D18" s="36"/>
      <c r="E18" s="36"/>
      <c r="F18" s="36"/>
      <c r="G18" s="36"/>
      <c r="H18" s="8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6"/>
      <c r="D19" s="36"/>
      <c r="E19" s="36"/>
      <c r="F19" s="36"/>
      <c r="G19" s="36"/>
      <c r="H19" s="87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6"/>
      <c r="D20" s="36"/>
      <c r="E20" s="36"/>
      <c r="F20" s="36"/>
      <c r="G20" s="36"/>
      <c r="H20" s="8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6"/>
      <c r="D21" s="36"/>
      <c r="E21" s="36"/>
      <c r="F21" s="36"/>
      <c r="G21" s="36"/>
      <c r="H21" s="8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6"/>
      <c r="D22" s="36"/>
      <c r="E22" s="36"/>
      <c r="F22" s="36"/>
      <c r="G22" s="36"/>
      <c r="H22" s="87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6"/>
      <c r="D23" s="36"/>
      <c r="E23" s="36"/>
      <c r="F23" s="36"/>
      <c r="G23" s="36"/>
      <c r="H23" s="87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6"/>
      <c r="D24" s="36"/>
      <c r="E24" s="36"/>
      <c r="F24" s="36"/>
      <c r="G24" s="36"/>
      <c r="H24" s="87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6"/>
      <c r="D25" s="36"/>
      <c r="E25" s="36"/>
      <c r="F25" s="36"/>
      <c r="G25" s="36"/>
      <c r="H25" s="87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6"/>
      <c r="D26" s="36"/>
      <c r="E26" s="36"/>
      <c r="F26" s="36"/>
      <c r="G26" s="36"/>
      <c r="H26" s="87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6"/>
      <c r="D27" s="36"/>
      <c r="E27" s="36"/>
      <c r="F27" s="36"/>
      <c r="G27" s="36"/>
      <c r="H27" s="87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6"/>
      <c r="D28" s="36"/>
      <c r="E28" s="36"/>
      <c r="F28" s="36"/>
      <c r="G28" s="36"/>
      <c r="H28" s="87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6"/>
      <c r="D29" s="36"/>
      <c r="E29" s="36"/>
      <c r="F29" s="36"/>
      <c r="G29" s="36"/>
      <c r="H29" s="8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6"/>
      <c r="D30" s="36"/>
      <c r="E30" s="36"/>
      <c r="F30" s="36"/>
      <c r="G30" s="36"/>
      <c r="H30" s="87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6"/>
      <c r="D31" s="36"/>
      <c r="E31" s="36"/>
      <c r="F31" s="36"/>
      <c r="G31" s="36"/>
      <c r="H31" s="8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6"/>
      <c r="D32" s="36"/>
      <c r="E32" s="36"/>
      <c r="F32" s="36"/>
      <c r="G32" s="36"/>
      <c r="H32" s="87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6"/>
      <c r="D33" s="36"/>
      <c r="E33" s="36"/>
      <c r="F33" s="36"/>
      <c r="G33" s="36"/>
      <c r="H33" s="87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6"/>
      <c r="D34" s="3"/>
      <c r="E34" s="3"/>
      <c r="F34" s="3"/>
      <c r="G34" s="3"/>
      <c r="H34" s="87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 t="s">
        <v>9</v>
      </c>
      <c r="C35" s="89">
        <f t="shared" ref="C35:H35" si="2">SUM(C2:C34)</f>
        <v>1425000</v>
      </c>
      <c r="D35" s="89">
        <f t="shared" si="2"/>
        <v>400000</v>
      </c>
      <c r="E35" s="89">
        <f t="shared" si="2"/>
        <v>0</v>
      </c>
      <c r="F35" s="89">
        <f t="shared" si="2"/>
        <v>200000</v>
      </c>
      <c r="G35" s="89">
        <f t="shared" si="2"/>
        <v>0</v>
      </c>
      <c r="H35" s="90">
        <f t="shared" si="2"/>
        <v>2025000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87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87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87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87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87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87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8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87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87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87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87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87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87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87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87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87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87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87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87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87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87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87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87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87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87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87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87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87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87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87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87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87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87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87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87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87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87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87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87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87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87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87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87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87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87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87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87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87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87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87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87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87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87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87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87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87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87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87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87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87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87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87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87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87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87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87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87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87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87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87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87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87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87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87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87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87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87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87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87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87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87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87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87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87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87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87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87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87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87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87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87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87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87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87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87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87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87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87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87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87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87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87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87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87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87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87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87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87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87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87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87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87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87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87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87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87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87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87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87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87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87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87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87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87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87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87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87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87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87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87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87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87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87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87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87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87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87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87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87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87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87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87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87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87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87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87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87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87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87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87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87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87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87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87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87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87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87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87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87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87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87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87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87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87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87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87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87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87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87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87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87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87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87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87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87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87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87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87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87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87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87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87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87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87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87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87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87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87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87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87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87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87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87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87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87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87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87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87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87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87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28.13"/>
    <col customWidth="1" min="3" max="3" width="19.0"/>
    <col customWidth="1" min="4" max="6" width="12.63"/>
  </cols>
  <sheetData>
    <row r="1" ht="15.75" customHeight="1">
      <c r="A1" s="3"/>
      <c r="B1" s="3" t="s">
        <v>123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87" t="s">
        <v>124</v>
      </c>
      <c r="I1" s="88" t="s">
        <v>125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54">
        <v>1.0</v>
      </c>
      <c r="B2" s="36" t="s">
        <v>126</v>
      </c>
      <c r="C2" s="89">
        <v>600000.0</v>
      </c>
      <c r="D2" s="3"/>
      <c r="E2" s="36"/>
      <c r="F2" s="36"/>
      <c r="G2" s="36"/>
      <c r="H2" s="90">
        <f t="shared" ref="H2:H4" si="1">SUM(C2:G2)</f>
        <v>600000</v>
      </c>
      <c r="I2" s="9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54">
        <v>2.0</v>
      </c>
      <c r="B3" s="36" t="s">
        <v>127</v>
      </c>
      <c r="C3" s="92">
        <v>75000.0</v>
      </c>
      <c r="D3" s="36"/>
      <c r="E3" s="36"/>
      <c r="F3" s="36"/>
      <c r="G3" s="36"/>
      <c r="H3" s="90">
        <f t="shared" si="1"/>
        <v>75000</v>
      </c>
      <c r="I3" s="9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54">
        <v>3.0</v>
      </c>
      <c r="B4" s="36" t="s">
        <v>128</v>
      </c>
      <c r="C4" s="89">
        <v>750000.0</v>
      </c>
      <c r="D4" s="36"/>
      <c r="E4" s="36"/>
      <c r="F4" s="36"/>
      <c r="G4" s="36"/>
      <c r="H4" s="90">
        <f t="shared" si="1"/>
        <v>750000</v>
      </c>
      <c r="I4" s="9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54"/>
      <c r="B5" s="3"/>
      <c r="C5" s="36"/>
      <c r="D5" s="36"/>
      <c r="E5" s="89"/>
      <c r="F5" s="3"/>
      <c r="G5" s="3"/>
      <c r="H5" s="90"/>
      <c r="I5" s="9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/>
      <c r="B6" s="3"/>
      <c r="C6" s="36"/>
      <c r="D6" s="36"/>
      <c r="E6" s="36"/>
      <c r="F6" s="36"/>
      <c r="G6" s="36"/>
      <c r="H6" s="36"/>
      <c r="I6" s="91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"/>
      <c r="D7" s="3"/>
      <c r="E7" s="36"/>
      <c r="F7" s="3"/>
      <c r="G7" s="3"/>
      <c r="H7" s="36"/>
      <c r="I7" s="9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36"/>
      <c r="E8" s="3"/>
      <c r="F8" s="3"/>
      <c r="G8" s="3"/>
      <c r="H8" s="36"/>
      <c r="I8" s="9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6"/>
      <c r="D9" s="36"/>
      <c r="E9" s="36"/>
      <c r="F9" s="36"/>
      <c r="G9" s="36"/>
      <c r="H9" s="36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6"/>
      <c r="D10" s="36"/>
      <c r="E10" s="36"/>
      <c r="F10" s="36"/>
      <c r="G10" s="36"/>
      <c r="H10" s="87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6"/>
      <c r="D11" s="36"/>
      <c r="E11" s="36"/>
      <c r="F11" s="36"/>
      <c r="G11" s="36"/>
      <c r="H11" s="87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6"/>
      <c r="D12" s="36"/>
      <c r="E12" s="36"/>
      <c r="F12" s="36"/>
      <c r="G12" s="36"/>
      <c r="H12" s="87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6"/>
      <c r="D13" s="36"/>
      <c r="E13" s="36"/>
      <c r="F13" s="36"/>
      <c r="G13" s="36"/>
      <c r="H13" s="87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6"/>
      <c r="D14" s="36"/>
      <c r="E14" s="36"/>
      <c r="F14" s="36"/>
      <c r="G14" s="36"/>
      <c r="H14" s="87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6"/>
      <c r="D15" s="36"/>
      <c r="E15" s="36"/>
      <c r="F15" s="36"/>
      <c r="G15" s="36"/>
      <c r="H15" s="8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6"/>
      <c r="D16" s="36"/>
      <c r="E16" s="36"/>
      <c r="F16" s="36"/>
      <c r="G16" s="36"/>
      <c r="H16" s="8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6"/>
      <c r="D17" s="36"/>
      <c r="E17" s="36"/>
      <c r="F17" s="36"/>
      <c r="G17" s="36"/>
      <c r="H17" s="87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6"/>
      <c r="D18" s="36"/>
      <c r="E18" s="36"/>
      <c r="F18" s="36"/>
      <c r="G18" s="36"/>
      <c r="H18" s="8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6"/>
      <c r="D19" s="36"/>
      <c r="E19" s="36"/>
      <c r="F19" s="36"/>
      <c r="G19" s="36"/>
      <c r="H19" s="87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6"/>
      <c r="D20" s="36"/>
      <c r="E20" s="36"/>
      <c r="F20" s="36"/>
      <c r="G20" s="36"/>
      <c r="H20" s="8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6"/>
      <c r="D21" s="36"/>
      <c r="E21" s="36"/>
      <c r="F21" s="36"/>
      <c r="G21" s="36"/>
      <c r="H21" s="8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6"/>
      <c r="D22" s="36"/>
      <c r="E22" s="36"/>
      <c r="F22" s="36"/>
      <c r="G22" s="36"/>
      <c r="H22" s="87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6"/>
      <c r="D23" s="36"/>
      <c r="E23" s="36"/>
      <c r="F23" s="36"/>
      <c r="G23" s="36"/>
      <c r="H23" s="87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6"/>
      <c r="D24" s="36"/>
      <c r="E24" s="36"/>
      <c r="F24" s="36"/>
      <c r="G24" s="36"/>
      <c r="H24" s="87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6"/>
      <c r="D25" s="36"/>
      <c r="E25" s="36"/>
      <c r="F25" s="36"/>
      <c r="G25" s="36"/>
      <c r="H25" s="87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6"/>
      <c r="D26" s="36"/>
      <c r="E26" s="36"/>
      <c r="F26" s="36"/>
      <c r="G26" s="36"/>
      <c r="H26" s="87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6"/>
      <c r="D27" s="36"/>
      <c r="E27" s="36"/>
      <c r="F27" s="36"/>
      <c r="G27" s="36"/>
      <c r="H27" s="87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6"/>
      <c r="D28" s="36"/>
      <c r="E28" s="36"/>
      <c r="F28" s="36"/>
      <c r="G28" s="36"/>
      <c r="H28" s="87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6"/>
      <c r="D29" s="36"/>
      <c r="E29" s="36"/>
      <c r="F29" s="36"/>
      <c r="G29" s="36"/>
      <c r="H29" s="8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6"/>
      <c r="D30" s="36"/>
      <c r="E30" s="36"/>
      <c r="F30" s="36"/>
      <c r="G30" s="36"/>
      <c r="H30" s="87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6"/>
      <c r="D31" s="36"/>
      <c r="E31" s="36"/>
      <c r="F31" s="36"/>
      <c r="G31" s="36"/>
      <c r="H31" s="8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6"/>
      <c r="D32" s="36"/>
      <c r="E32" s="36"/>
      <c r="F32" s="36"/>
      <c r="G32" s="36"/>
      <c r="H32" s="87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6"/>
      <c r="D33" s="36"/>
      <c r="E33" s="36"/>
      <c r="F33" s="36"/>
      <c r="G33" s="36"/>
      <c r="H33" s="87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6"/>
      <c r="D34" s="3"/>
      <c r="E34" s="3"/>
      <c r="F34" s="3"/>
      <c r="G34" s="3"/>
      <c r="H34" s="87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 t="s">
        <v>9</v>
      </c>
      <c r="C35" s="89">
        <f t="shared" ref="C35:H35" si="2">SUM(C2:C34)</f>
        <v>1425000</v>
      </c>
      <c r="D35" s="89">
        <f t="shared" si="2"/>
        <v>0</v>
      </c>
      <c r="E35" s="89">
        <f t="shared" si="2"/>
        <v>0</v>
      </c>
      <c r="F35" s="89">
        <f t="shared" si="2"/>
        <v>0</v>
      </c>
      <c r="G35" s="89">
        <f t="shared" si="2"/>
        <v>0</v>
      </c>
      <c r="H35" s="90">
        <f t="shared" si="2"/>
        <v>1425000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87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87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87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87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87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87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8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87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87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87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87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87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87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87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87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87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87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87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87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87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87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87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87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87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87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87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87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87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87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87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87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87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87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87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87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87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87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87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87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87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87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87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87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87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87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87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87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87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87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87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87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87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87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87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87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87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87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87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87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87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87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87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87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87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87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87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87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87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87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87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87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87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87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87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87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87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87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87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87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87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87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87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87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87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87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87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87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87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87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87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87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87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87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87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87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87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87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87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87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87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87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87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87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87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87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87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87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87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87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87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87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87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87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87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87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87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87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87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87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87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87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87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87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87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87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87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87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87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87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87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87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87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87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87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87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87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87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87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87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87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87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87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87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87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87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87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87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87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87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87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87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87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87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87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87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87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87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87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87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87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87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87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87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87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87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87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87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87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87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87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87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87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87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87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87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87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87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87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87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87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87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87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87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87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87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87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87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87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87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87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87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87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87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87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87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87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87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87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87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87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23.75"/>
    <col customWidth="1" min="3" max="3" width="19.0"/>
    <col customWidth="1" min="4" max="6" width="12.63"/>
  </cols>
  <sheetData>
    <row r="1" ht="15.75" customHeight="1">
      <c r="A1" s="3"/>
      <c r="B1" s="3" t="s">
        <v>123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87" t="s">
        <v>124</v>
      </c>
      <c r="I1" s="88" t="s">
        <v>125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54">
        <v>1.0</v>
      </c>
      <c r="B2" s="36" t="s">
        <v>126</v>
      </c>
      <c r="C2" s="89">
        <v>600000.0</v>
      </c>
      <c r="D2" s="3"/>
      <c r="E2" s="36"/>
      <c r="F2" s="36"/>
      <c r="G2" s="36"/>
      <c r="H2" s="90">
        <f t="shared" ref="H2:H4" si="1">SUM(C2:G2)</f>
        <v>600000</v>
      </c>
      <c r="I2" s="9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54">
        <v>2.0</v>
      </c>
      <c r="B3" s="36" t="s">
        <v>127</v>
      </c>
      <c r="C3" s="92">
        <v>75000.0</v>
      </c>
      <c r="D3" s="36"/>
      <c r="E3" s="36"/>
      <c r="F3" s="36"/>
      <c r="G3" s="36"/>
      <c r="H3" s="90">
        <f t="shared" si="1"/>
        <v>75000</v>
      </c>
      <c r="I3" s="9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54">
        <v>3.0</v>
      </c>
      <c r="B4" s="36" t="s">
        <v>128</v>
      </c>
      <c r="C4" s="89">
        <v>750000.0</v>
      </c>
      <c r="D4" s="36"/>
      <c r="E4" s="36"/>
      <c r="F4" s="36"/>
      <c r="G4" s="36"/>
      <c r="H4" s="90">
        <f t="shared" si="1"/>
        <v>750000</v>
      </c>
      <c r="I4" s="9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9"/>
      <c r="B5" s="50"/>
      <c r="C5" s="36"/>
      <c r="D5" s="92"/>
      <c r="E5" s="3"/>
      <c r="F5" s="89"/>
      <c r="G5" s="36"/>
      <c r="H5" s="90"/>
      <c r="I5" s="95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69"/>
      <c r="B6" s="50"/>
      <c r="C6" s="36"/>
      <c r="E6" s="3"/>
      <c r="F6" s="92"/>
      <c r="G6" s="3"/>
      <c r="H6" s="90"/>
      <c r="I6" s="9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54"/>
      <c r="B7" s="3"/>
      <c r="C7" s="36"/>
      <c r="D7" s="89"/>
      <c r="E7" s="3"/>
      <c r="G7" s="36"/>
      <c r="H7" s="90"/>
      <c r="I7" s="9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54"/>
      <c r="B8" s="3"/>
      <c r="C8" s="89"/>
      <c r="D8" s="36"/>
      <c r="E8" s="3"/>
      <c r="F8" s="3"/>
      <c r="G8" s="36"/>
      <c r="H8" s="90"/>
      <c r="I8" s="9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54"/>
      <c r="B9" s="3"/>
      <c r="C9" s="36"/>
      <c r="D9" s="36"/>
      <c r="E9" s="89"/>
      <c r="F9" s="36"/>
      <c r="G9" s="36"/>
      <c r="H9" s="90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54"/>
      <c r="B10" s="3"/>
      <c r="C10" s="36"/>
      <c r="D10" s="36"/>
      <c r="E10" s="36"/>
      <c r="F10" s="36"/>
      <c r="G10" s="89"/>
      <c r="H10" s="90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54"/>
      <c r="B11" s="3"/>
      <c r="C11" s="36"/>
      <c r="D11" s="36"/>
      <c r="E11" s="89"/>
      <c r="F11" s="36"/>
      <c r="G11" s="36"/>
      <c r="H11" s="90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54"/>
      <c r="B12" s="3"/>
      <c r="C12" s="89"/>
      <c r="D12" s="36"/>
      <c r="E12" s="36"/>
      <c r="F12" s="36"/>
      <c r="G12" s="36"/>
      <c r="H12" s="90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6"/>
      <c r="D13" s="36"/>
      <c r="E13" s="36"/>
      <c r="F13" s="36"/>
      <c r="G13" s="36"/>
      <c r="H13" s="87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6"/>
      <c r="D14" s="36"/>
      <c r="E14" s="36"/>
      <c r="F14" s="36"/>
      <c r="G14" s="36"/>
      <c r="H14" s="87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6"/>
      <c r="D15" s="36"/>
      <c r="E15" s="36"/>
      <c r="F15" s="36"/>
      <c r="G15" s="36"/>
      <c r="H15" s="8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6"/>
      <c r="D16" s="36"/>
      <c r="E16" s="36"/>
      <c r="F16" s="36"/>
      <c r="G16" s="36"/>
      <c r="H16" s="8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6"/>
      <c r="D17" s="36"/>
      <c r="E17" s="36"/>
      <c r="F17" s="36"/>
      <c r="G17" s="36"/>
      <c r="H17" s="87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6"/>
      <c r="D18" s="36"/>
      <c r="E18" s="36"/>
      <c r="F18" s="36"/>
      <c r="G18" s="36"/>
      <c r="H18" s="8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6"/>
      <c r="D19" s="36"/>
      <c r="E19" s="36"/>
      <c r="F19" s="36"/>
      <c r="G19" s="36"/>
      <c r="H19" s="87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6"/>
      <c r="D20" s="36"/>
      <c r="E20" s="36"/>
      <c r="F20" s="36"/>
      <c r="G20" s="36"/>
      <c r="H20" s="8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6"/>
      <c r="D21" s="36"/>
      <c r="E21" s="36"/>
      <c r="F21" s="36"/>
      <c r="G21" s="36"/>
      <c r="H21" s="8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6"/>
      <c r="D22" s="36"/>
      <c r="E22" s="36"/>
      <c r="F22" s="36"/>
      <c r="G22" s="36"/>
      <c r="H22" s="87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6"/>
      <c r="D23" s="36"/>
      <c r="E23" s="36"/>
      <c r="F23" s="36"/>
      <c r="G23" s="36"/>
      <c r="H23" s="87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6"/>
      <c r="D24" s="36"/>
      <c r="E24" s="36"/>
      <c r="F24" s="36"/>
      <c r="G24" s="36"/>
      <c r="H24" s="87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6"/>
      <c r="D25" s="36"/>
      <c r="E25" s="36"/>
      <c r="F25" s="36"/>
      <c r="G25" s="36"/>
      <c r="H25" s="87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6"/>
      <c r="D26" s="36"/>
      <c r="E26" s="36"/>
      <c r="F26" s="36"/>
      <c r="G26" s="36"/>
      <c r="H26" s="87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6"/>
      <c r="D27" s="36"/>
      <c r="E27" s="36"/>
      <c r="F27" s="36"/>
      <c r="G27" s="36"/>
      <c r="H27" s="87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6"/>
      <c r="D28" s="36"/>
      <c r="E28" s="36"/>
      <c r="F28" s="36"/>
      <c r="G28" s="36"/>
      <c r="H28" s="87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6"/>
      <c r="D29" s="36"/>
      <c r="E29" s="36"/>
      <c r="F29" s="36"/>
      <c r="G29" s="36"/>
      <c r="H29" s="8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6"/>
      <c r="D30" s="36"/>
      <c r="E30" s="36"/>
      <c r="F30" s="36"/>
      <c r="G30" s="36"/>
      <c r="H30" s="87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6"/>
      <c r="D31" s="36"/>
      <c r="E31" s="36"/>
      <c r="F31" s="36"/>
      <c r="G31" s="36"/>
      <c r="H31" s="8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6"/>
      <c r="D32" s="36"/>
      <c r="E32" s="36"/>
      <c r="F32" s="36"/>
      <c r="G32" s="36"/>
      <c r="H32" s="87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6"/>
      <c r="D33" s="36"/>
      <c r="E33" s="36"/>
      <c r="F33" s="36"/>
      <c r="G33" s="36"/>
      <c r="H33" s="87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6"/>
      <c r="D34" s="3"/>
      <c r="E34" s="3"/>
      <c r="F34" s="3"/>
      <c r="G34" s="3"/>
      <c r="H34" s="87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 t="s">
        <v>9</v>
      </c>
      <c r="C35" s="89">
        <f t="shared" ref="C35:H35" si="2">SUM(C2:C34)</f>
        <v>1425000</v>
      </c>
      <c r="D35" s="89">
        <f t="shared" si="2"/>
        <v>0</v>
      </c>
      <c r="E35" s="89">
        <f t="shared" si="2"/>
        <v>0</v>
      </c>
      <c r="F35" s="89">
        <f t="shared" si="2"/>
        <v>0</v>
      </c>
      <c r="G35" s="89">
        <f t="shared" si="2"/>
        <v>0</v>
      </c>
      <c r="H35" s="90">
        <f t="shared" si="2"/>
        <v>1425000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87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87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87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87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87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87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8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87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87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87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87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87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87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87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87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87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87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87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87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87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87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87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87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87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87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87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87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87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87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87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87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87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87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87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87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87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87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87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87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87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87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87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87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87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87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87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87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87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87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87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87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87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87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87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87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87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87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87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87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87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87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87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87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87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87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87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87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87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87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87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87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87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87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87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87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87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87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87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87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87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87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87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87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87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87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87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87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87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87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87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87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87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87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87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87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87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87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87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87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87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87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87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87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87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87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87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87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87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87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87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87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87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87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87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87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87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87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87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87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87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87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87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87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87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87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87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87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87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87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87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87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87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87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87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87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87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87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87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87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87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87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87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87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87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87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87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87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87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87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87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87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87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87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87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87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87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87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87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87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87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87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87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87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87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87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87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87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87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87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87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87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87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87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87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87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87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87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87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87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87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87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87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87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87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87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87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87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87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87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87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87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87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87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87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87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87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87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87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87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87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25.38"/>
    <col customWidth="1" min="3" max="6" width="12.63"/>
  </cols>
  <sheetData>
    <row r="1" ht="15.75" customHeight="1">
      <c r="A1" s="3"/>
      <c r="B1" s="3" t="s">
        <v>123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87" t="s">
        <v>124</v>
      </c>
      <c r="I1" s="88" t="s">
        <v>125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54">
        <v>1.0</v>
      </c>
      <c r="B2" s="36" t="s">
        <v>126</v>
      </c>
      <c r="C2" s="89">
        <v>600000.0</v>
      </c>
      <c r="D2" s="3"/>
      <c r="E2" s="36"/>
      <c r="F2" s="36"/>
      <c r="G2" s="36"/>
      <c r="H2" s="90">
        <f t="shared" ref="H2:H4" si="1">SUM(C2:G2)</f>
        <v>600000</v>
      </c>
      <c r="I2" s="9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54">
        <v>2.0</v>
      </c>
      <c r="B3" s="36" t="s">
        <v>127</v>
      </c>
      <c r="C3" s="92">
        <v>75000.0</v>
      </c>
      <c r="D3" s="36"/>
      <c r="E3" s="36"/>
      <c r="F3" s="36"/>
      <c r="G3" s="36"/>
      <c r="H3" s="90">
        <f t="shared" si="1"/>
        <v>75000</v>
      </c>
      <c r="I3" s="9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54">
        <v>3.0</v>
      </c>
      <c r="B4" s="36" t="s">
        <v>128</v>
      </c>
      <c r="C4" s="89">
        <v>750000.0</v>
      </c>
      <c r="D4" s="36"/>
      <c r="E4" s="36"/>
      <c r="F4" s="36"/>
      <c r="G4" s="36"/>
      <c r="H4" s="90">
        <f t="shared" si="1"/>
        <v>750000</v>
      </c>
      <c r="I4" s="9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9"/>
      <c r="B5" s="50"/>
      <c r="C5" s="36"/>
      <c r="D5" s="36"/>
      <c r="E5" s="89"/>
      <c r="F5" s="3"/>
      <c r="G5" s="76"/>
      <c r="H5" s="90"/>
      <c r="I5" s="95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69"/>
      <c r="B6" s="50"/>
      <c r="C6" s="36"/>
      <c r="D6" s="36"/>
      <c r="E6" s="3"/>
      <c r="F6" s="3"/>
      <c r="G6" s="92"/>
      <c r="H6" s="90"/>
      <c r="I6" s="9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69"/>
      <c r="B7" s="50"/>
      <c r="C7" s="36"/>
      <c r="D7" s="76"/>
      <c r="E7" s="36"/>
      <c r="F7" s="36"/>
      <c r="G7" s="89"/>
      <c r="H7" s="90"/>
      <c r="I7" s="9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69"/>
      <c r="B8" s="50"/>
      <c r="C8" s="89"/>
      <c r="D8" s="36"/>
      <c r="E8" s="3"/>
      <c r="F8" s="76"/>
      <c r="G8" s="36"/>
      <c r="H8" s="90"/>
      <c r="I8" s="9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50"/>
      <c r="B9" s="50"/>
      <c r="C9" s="36"/>
      <c r="D9" s="36"/>
      <c r="E9" s="76"/>
      <c r="F9" s="36"/>
      <c r="G9" s="36"/>
      <c r="H9" s="90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50"/>
      <c r="B10" s="50"/>
      <c r="C10" s="36"/>
      <c r="D10" s="36"/>
      <c r="E10" s="36"/>
      <c r="F10" s="36"/>
      <c r="G10" s="76"/>
      <c r="H10" s="90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6"/>
      <c r="D11" s="36"/>
      <c r="E11" s="36"/>
      <c r="F11" s="36"/>
      <c r="G11" s="36"/>
      <c r="H11" s="87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6"/>
      <c r="D12" s="36"/>
      <c r="E12" s="36"/>
      <c r="F12" s="36"/>
      <c r="G12" s="36"/>
      <c r="H12" s="87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6"/>
      <c r="D13" s="36"/>
      <c r="E13" s="36"/>
      <c r="F13" s="36"/>
      <c r="G13" s="36"/>
      <c r="H13" s="87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6"/>
      <c r="D14" s="36"/>
      <c r="E14" s="36"/>
      <c r="F14" s="36"/>
      <c r="G14" s="36"/>
      <c r="H14" s="87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6"/>
      <c r="D15" s="36"/>
      <c r="E15" s="36"/>
      <c r="F15" s="36"/>
      <c r="G15" s="36"/>
      <c r="H15" s="8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6"/>
      <c r="D16" s="36"/>
      <c r="E16" s="36"/>
      <c r="F16" s="36"/>
      <c r="G16" s="36"/>
      <c r="H16" s="8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6"/>
      <c r="D17" s="36"/>
      <c r="E17" s="36"/>
      <c r="F17" s="36"/>
      <c r="G17" s="36"/>
      <c r="H17" s="87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6"/>
      <c r="D18" s="36"/>
      <c r="E18" s="36"/>
      <c r="F18" s="36"/>
      <c r="G18" s="36"/>
      <c r="H18" s="8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6"/>
      <c r="D19" s="36"/>
      <c r="E19" s="36"/>
      <c r="F19" s="36"/>
      <c r="G19" s="36"/>
      <c r="H19" s="87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6"/>
      <c r="D20" s="36"/>
      <c r="E20" s="36"/>
      <c r="F20" s="36"/>
      <c r="G20" s="36"/>
      <c r="H20" s="8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6"/>
      <c r="D21" s="36"/>
      <c r="E21" s="36"/>
      <c r="F21" s="36"/>
      <c r="G21" s="36"/>
      <c r="H21" s="8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6"/>
      <c r="D22" s="36"/>
      <c r="E22" s="36"/>
      <c r="F22" s="36"/>
      <c r="G22" s="36"/>
      <c r="H22" s="87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6"/>
      <c r="D23" s="36"/>
      <c r="E23" s="36"/>
      <c r="F23" s="36"/>
      <c r="G23" s="36"/>
      <c r="H23" s="87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6"/>
      <c r="D24" s="36"/>
      <c r="E24" s="36"/>
      <c r="F24" s="36"/>
      <c r="G24" s="36"/>
      <c r="H24" s="87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6"/>
      <c r="D25" s="36"/>
      <c r="E25" s="36"/>
      <c r="F25" s="36"/>
      <c r="G25" s="36"/>
      <c r="H25" s="87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6"/>
      <c r="D26" s="36"/>
      <c r="E26" s="36"/>
      <c r="F26" s="36"/>
      <c r="G26" s="36"/>
      <c r="H26" s="87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6"/>
      <c r="D27" s="36"/>
      <c r="E27" s="36"/>
      <c r="F27" s="36"/>
      <c r="G27" s="36"/>
      <c r="H27" s="87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6"/>
      <c r="D28" s="36"/>
      <c r="E28" s="36"/>
      <c r="F28" s="36"/>
      <c r="G28" s="36"/>
      <c r="H28" s="87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6"/>
      <c r="D29" s="36"/>
      <c r="E29" s="36"/>
      <c r="F29" s="36"/>
      <c r="G29" s="36"/>
      <c r="H29" s="8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6"/>
      <c r="D30" s="36"/>
      <c r="E30" s="36"/>
      <c r="F30" s="36"/>
      <c r="G30" s="36"/>
      <c r="H30" s="87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6"/>
      <c r="D31" s="36"/>
      <c r="E31" s="36"/>
      <c r="F31" s="36"/>
      <c r="G31" s="36"/>
      <c r="H31" s="8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6"/>
      <c r="D32" s="36"/>
      <c r="E32" s="36"/>
      <c r="F32" s="36"/>
      <c r="G32" s="36"/>
      <c r="H32" s="87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6"/>
      <c r="D33" s="36"/>
      <c r="E33" s="36"/>
      <c r="F33" s="36"/>
      <c r="G33" s="36"/>
      <c r="H33" s="87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6"/>
      <c r="D34" s="3"/>
      <c r="E34" s="3"/>
      <c r="F34" s="3"/>
      <c r="G34" s="3"/>
      <c r="H34" s="87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 t="s">
        <v>9</v>
      </c>
      <c r="C35" s="89">
        <f t="shared" ref="C35:H35" si="2">SUM(C2:C34)</f>
        <v>1425000</v>
      </c>
      <c r="D35" s="89">
        <f t="shared" si="2"/>
        <v>0</v>
      </c>
      <c r="E35" s="89">
        <f t="shared" si="2"/>
        <v>0</v>
      </c>
      <c r="F35" s="89">
        <f t="shared" si="2"/>
        <v>0</v>
      </c>
      <c r="G35" s="89">
        <f t="shared" si="2"/>
        <v>0</v>
      </c>
      <c r="H35" s="90">
        <f t="shared" si="2"/>
        <v>1425000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87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87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87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87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87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87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8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87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87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87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87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87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87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87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87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87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87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87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87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87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87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87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87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87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87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87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87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87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87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87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87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87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87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87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87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87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87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87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87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87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87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87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87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87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87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87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87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87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87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87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87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87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87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87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87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87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87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87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87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87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87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87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87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87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87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87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87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87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87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87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87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87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87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87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87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87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87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87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87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87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87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87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87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87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87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87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87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87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87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87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87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87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87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87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87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87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87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87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87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87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87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87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87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87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87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87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87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87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87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87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87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87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87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87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87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87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87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87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87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87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87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87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87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87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87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87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87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87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87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87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87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87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87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87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87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87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87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87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87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87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87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87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87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87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87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87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87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87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87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87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87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87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87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87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87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87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87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87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87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87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87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87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87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87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87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87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87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87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87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87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87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87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87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87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87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87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87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87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87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87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87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87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87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87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87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87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87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87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87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87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87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87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87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87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87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87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87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87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87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87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19.88"/>
    <col customWidth="1" min="3" max="3" width="19.0"/>
    <col customWidth="1" min="4" max="6" width="12.63"/>
  </cols>
  <sheetData>
    <row r="1" ht="15.75" customHeight="1">
      <c r="A1" s="3"/>
      <c r="B1" s="3" t="s">
        <v>123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87" t="s">
        <v>124</v>
      </c>
      <c r="I1" s="88" t="s">
        <v>125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54">
        <v>1.0</v>
      </c>
      <c r="B2" s="36" t="s">
        <v>126</v>
      </c>
      <c r="C2" s="89">
        <v>600000.0</v>
      </c>
      <c r="D2" s="3"/>
      <c r="E2" s="36"/>
      <c r="F2" s="36"/>
      <c r="G2" s="36"/>
      <c r="H2" s="90">
        <f t="shared" ref="H2:H4" si="1">SUM(C2:G2)</f>
        <v>600000</v>
      </c>
      <c r="I2" s="9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54">
        <v>2.0</v>
      </c>
      <c r="B3" s="36" t="s">
        <v>127</v>
      </c>
      <c r="C3" s="92">
        <v>75000.0</v>
      </c>
      <c r="D3" s="36"/>
      <c r="E3" s="36"/>
      <c r="F3" s="36"/>
      <c r="G3" s="36"/>
      <c r="H3" s="90">
        <f t="shared" si="1"/>
        <v>75000</v>
      </c>
      <c r="I3" s="9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54">
        <v>3.0</v>
      </c>
      <c r="B4" s="36" t="s">
        <v>128</v>
      </c>
      <c r="C4" s="89">
        <v>750000.0</v>
      </c>
      <c r="D4" s="36"/>
      <c r="E4" s="36"/>
      <c r="F4" s="36"/>
      <c r="G4" s="36"/>
      <c r="H4" s="90">
        <f t="shared" si="1"/>
        <v>750000</v>
      </c>
      <c r="I4" s="9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9"/>
      <c r="B5" s="50"/>
      <c r="C5" s="36"/>
      <c r="D5" s="92"/>
      <c r="E5" s="3"/>
      <c r="F5" s="89"/>
      <c r="G5" s="36"/>
      <c r="H5" s="90"/>
      <c r="I5" s="95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69"/>
      <c r="B6" s="50"/>
      <c r="C6" s="36"/>
      <c r="E6" s="3"/>
      <c r="F6" s="92"/>
      <c r="G6" s="3"/>
      <c r="H6" s="90"/>
      <c r="I6" s="9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6"/>
      <c r="D7" s="36"/>
      <c r="E7" s="36"/>
      <c r="F7" s="36"/>
      <c r="G7" s="36"/>
      <c r="H7" s="36"/>
      <c r="I7" s="9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36"/>
      <c r="E8" s="3"/>
      <c r="F8" s="3"/>
      <c r="G8" s="36"/>
      <c r="H8" s="36"/>
      <c r="I8" s="9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6"/>
      <c r="D9" s="36"/>
      <c r="E9" s="36"/>
      <c r="F9" s="36"/>
      <c r="G9" s="36"/>
      <c r="H9" s="36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6"/>
      <c r="D10" s="36"/>
      <c r="E10" s="36"/>
      <c r="F10" s="36"/>
      <c r="G10" s="36"/>
      <c r="H10" s="87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6"/>
      <c r="D11" s="36"/>
      <c r="E11" s="36"/>
      <c r="F11" s="36"/>
      <c r="G11" s="36"/>
      <c r="H11" s="87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6"/>
      <c r="D12" s="36"/>
      <c r="E12" s="36"/>
      <c r="F12" s="36"/>
      <c r="G12" s="36"/>
      <c r="H12" s="87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6"/>
      <c r="D13" s="36"/>
      <c r="E13" s="36"/>
      <c r="F13" s="36"/>
      <c r="G13" s="36"/>
      <c r="H13" s="87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6"/>
      <c r="D14" s="36"/>
      <c r="E14" s="36"/>
      <c r="F14" s="36"/>
      <c r="G14" s="36"/>
      <c r="H14" s="87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6"/>
      <c r="D15" s="36"/>
      <c r="E15" s="36"/>
      <c r="F15" s="36"/>
      <c r="G15" s="36"/>
      <c r="H15" s="8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6"/>
      <c r="D16" s="36"/>
      <c r="E16" s="36"/>
      <c r="F16" s="36"/>
      <c r="G16" s="36"/>
      <c r="H16" s="8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6"/>
      <c r="D17" s="36"/>
      <c r="E17" s="36"/>
      <c r="F17" s="36"/>
      <c r="G17" s="36"/>
      <c r="H17" s="87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6"/>
      <c r="D18" s="36"/>
      <c r="E18" s="36"/>
      <c r="F18" s="36"/>
      <c r="G18" s="36"/>
      <c r="H18" s="8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6"/>
      <c r="D19" s="36"/>
      <c r="E19" s="36"/>
      <c r="F19" s="36"/>
      <c r="G19" s="36"/>
      <c r="H19" s="87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6"/>
      <c r="D20" s="36"/>
      <c r="E20" s="36"/>
      <c r="F20" s="36"/>
      <c r="G20" s="36"/>
      <c r="H20" s="8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6"/>
      <c r="D21" s="36"/>
      <c r="E21" s="36"/>
      <c r="F21" s="36"/>
      <c r="G21" s="36"/>
      <c r="H21" s="8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6"/>
      <c r="D22" s="36"/>
      <c r="E22" s="36"/>
      <c r="F22" s="36"/>
      <c r="G22" s="36"/>
      <c r="H22" s="87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6"/>
      <c r="D23" s="36"/>
      <c r="E23" s="36"/>
      <c r="F23" s="36"/>
      <c r="G23" s="36"/>
      <c r="H23" s="87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6"/>
      <c r="D24" s="36"/>
      <c r="E24" s="36"/>
      <c r="F24" s="36"/>
      <c r="G24" s="36"/>
      <c r="H24" s="87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6"/>
      <c r="D25" s="36"/>
      <c r="E25" s="36"/>
      <c r="F25" s="36"/>
      <c r="G25" s="36"/>
      <c r="H25" s="87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6"/>
      <c r="D26" s="36"/>
      <c r="E26" s="36"/>
      <c r="F26" s="36"/>
      <c r="G26" s="36"/>
      <c r="H26" s="87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6"/>
      <c r="D27" s="36"/>
      <c r="E27" s="36"/>
      <c r="F27" s="36"/>
      <c r="G27" s="36"/>
      <c r="H27" s="87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6"/>
      <c r="D28" s="36"/>
      <c r="E28" s="36"/>
      <c r="F28" s="36"/>
      <c r="G28" s="36"/>
      <c r="H28" s="87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6"/>
      <c r="D29" s="36"/>
      <c r="E29" s="36"/>
      <c r="F29" s="36"/>
      <c r="G29" s="36"/>
      <c r="H29" s="8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6"/>
      <c r="D30" s="36"/>
      <c r="E30" s="36"/>
      <c r="F30" s="36"/>
      <c r="G30" s="36"/>
      <c r="H30" s="87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6"/>
      <c r="D31" s="36"/>
      <c r="E31" s="36"/>
      <c r="F31" s="36"/>
      <c r="G31" s="36"/>
      <c r="H31" s="8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6"/>
      <c r="D32" s="36"/>
      <c r="E32" s="36"/>
      <c r="F32" s="36"/>
      <c r="G32" s="36"/>
      <c r="H32" s="87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6"/>
      <c r="D33" s="36"/>
      <c r="E33" s="36"/>
      <c r="F33" s="36"/>
      <c r="G33" s="36"/>
      <c r="H33" s="87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6"/>
      <c r="D34" s="3"/>
      <c r="E34" s="3"/>
      <c r="F34" s="3"/>
      <c r="G34" s="3"/>
      <c r="H34" s="87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 t="s">
        <v>9</v>
      </c>
      <c r="C35" s="89">
        <f t="shared" ref="C35:H35" si="2">SUM(C2:C34)</f>
        <v>1425000</v>
      </c>
      <c r="D35" s="89">
        <f t="shared" si="2"/>
        <v>0</v>
      </c>
      <c r="E35" s="89">
        <f t="shared" si="2"/>
        <v>0</v>
      </c>
      <c r="F35" s="89">
        <f t="shared" si="2"/>
        <v>0</v>
      </c>
      <c r="G35" s="89">
        <f t="shared" si="2"/>
        <v>0</v>
      </c>
      <c r="H35" s="90">
        <f t="shared" si="2"/>
        <v>1425000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87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87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87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87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87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87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8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87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87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87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87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87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87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87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87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87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87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87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87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87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87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87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87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87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87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87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87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87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87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87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87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87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87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87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87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87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87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87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87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87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87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87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87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87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87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87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87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87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87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87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87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87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87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87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87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87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87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87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87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87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87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87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87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87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87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87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87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87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87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87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87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87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87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87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87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87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87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87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87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87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87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87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87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87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87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87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87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87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87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87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87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87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87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87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87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87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87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87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87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87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87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87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87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87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87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87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87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87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87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87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87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87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87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87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87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87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87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87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87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87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87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87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87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87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87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87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87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87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87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87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87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87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87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87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87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87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87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87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87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87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87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87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87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87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87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87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87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87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87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87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87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87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87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87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87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87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87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87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87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87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87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87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87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87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87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87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87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87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87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87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87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87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87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87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87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87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87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87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87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87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87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87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87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87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87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87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87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87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87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87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87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87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87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87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87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87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87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87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87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87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19.88"/>
    <col customWidth="1" min="3" max="6" width="12.63"/>
  </cols>
  <sheetData>
    <row r="1" ht="15.75" customHeight="1">
      <c r="A1" s="3"/>
      <c r="B1" s="3" t="s">
        <v>123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87" t="s">
        <v>124</v>
      </c>
      <c r="I1" s="88" t="s">
        <v>125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54">
        <v>1.0</v>
      </c>
      <c r="B2" s="36" t="s">
        <v>126</v>
      </c>
      <c r="C2" s="89">
        <v>600000.0</v>
      </c>
      <c r="D2" s="3"/>
      <c r="E2" s="36"/>
      <c r="F2" s="36"/>
      <c r="G2" s="36"/>
      <c r="H2" s="90">
        <f t="shared" ref="H2:H4" si="1">SUM(C2:G2)</f>
        <v>600000</v>
      </c>
      <c r="I2" s="9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54">
        <v>2.0</v>
      </c>
      <c r="B3" s="36" t="s">
        <v>127</v>
      </c>
      <c r="C3" s="92">
        <v>75000.0</v>
      </c>
      <c r="D3" s="36"/>
      <c r="E3" s="36"/>
      <c r="F3" s="36"/>
      <c r="G3" s="36"/>
      <c r="H3" s="90">
        <f t="shared" si="1"/>
        <v>75000</v>
      </c>
      <c r="I3" s="9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54">
        <v>3.0</v>
      </c>
      <c r="B4" s="36" t="s">
        <v>128</v>
      </c>
      <c r="C4" s="89">
        <v>750000.0</v>
      </c>
      <c r="D4" s="36"/>
      <c r="E4" s="36"/>
      <c r="F4" s="36"/>
      <c r="G4" s="36"/>
      <c r="H4" s="90">
        <f t="shared" si="1"/>
        <v>750000</v>
      </c>
      <c r="I4" s="9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9"/>
      <c r="B5" s="50"/>
      <c r="C5" s="36"/>
      <c r="D5" s="36"/>
      <c r="E5" s="92"/>
      <c r="F5" s="3"/>
      <c r="G5" s="3"/>
      <c r="H5" s="100"/>
      <c r="I5" s="9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50"/>
      <c r="B6" s="50"/>
      <c r="C6" s="36"/>
      <c r="D6" s="36"/>
      <c r="E6" s="76"/>
      <c r="F6" s="36"/>
      <c r="G6" s="36"/>
      <c r="H6" s="100"/>
      <c r="I6" s="91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6"/>
      <c r="D7" s="36"/>
      <c r="E7" s="36"/>
      <c r="F7" s="36"/>
      <c r="G7" s="36"/>
      <c r="H7" s="36"/>
      <c r="I7" s="9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36"/>
      <c r="E8" s="3"/>
      <c r="F8" s="3"/>
      <c r="G8" s="36"/>
      <c r="H8" s="36"/>
      <c r="I8" s="9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6"/>
      <c r="D9" s="36"/>
      <c r="E9" s="36"/>
      <c r="F9" s="36"/>
      <c r="G9" s="36"/>
      <c r="H9" s="36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6"/>
      <c r="D10" s="36"/>
      <c r="E10" s="36"/>
      <c r="F10" s="36"/>
      <c r="G10" s="36"/>
      <c r="H10" s="87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6"/>
      <c r="D11" s="36"/>
      <c r="E11" s="36"/>
      <c r="F11" s="36"/>
      <c r="G11" s="36"/>
      <c r="H11" s="87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6"/>
      <c r="D12" s="36"/>
      <c r="E12" s="36"/>
      <c r="F12" s="36"/>
      <c r="G12" s="36"/>
      <c r="H12" s="87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6"/>
      <c r="D13" s="36"/>
      <c r="E13" s="36"/>
      <c r="F13" s="36"/>
      <c r="G13" s="36"/>
      <c r="H13" s="87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6"/>
      <c r="D14" s="36"/>
      <c r="E14" s="36"/>
      <c r="F14" s="36"/>
      <c r="G14" s="36"/>
      <c r="H14" s="87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6"/>
      <c r="D15" s="36"/>
      <c r="E15" s="36"/>
      <c r="F15" s="36"/>
      <c r="G15" s="36"/>
      <c r="H15" s="8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6"/>
      <c r="D16" s="36"/>
      <c r="E16" s="36"/>
      <c r="F16" s="36"/>
      <c r="G16" s="36"/>
      <c r="H16" s="8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6"/>
      <c r="D17" s="36"/>
      <c r="E17" s="36"/>
      <c r="F17" s="36"/>
      <c r="G17" s="36"/>
      <c r="H17" s="87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6"/>
      <c r="D18" s="36"/>
      <c r="E18" s="36"/>
      <c r="F18" s="36"/>
      <c r="G18" s="36"/>
      <c r="H18" s="8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6"/>
      <c r="D19" s="36"/>
      <c r="E19" s="36"/>
      <c r="F19" s="36"/>
      <c r="G19" s="36"/>
      <c r="H19" s="87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6"/>
      <c r="D20" s="36"/>
      <c r="E20" s="36"/>
      <c r="F20" s="36"/>
      <c r="G20" s="36"/>
      <c r="H20" s="8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6"/>
      <c r="D21" s="36"/>
      <c r="E21" s="36"/>
      <c r="F21" s="36"/>
      <c r="G21" s="36"/>
      <c r="H21" s="8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6"/>
      <c r="D22" s="36"/>
      <c r="E22" s="36"/>
      <c r="F22" s="36"/>
      <c r="G22" s="36"/>
      <c r="H22" s="87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6"/>
      <c r="D23" s="36"/>
      <c r="E23" s="36"/>
      <c r="F23" s="36"/>
      <c r="G23" s="36"/>
      <c r="H23" s="87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6"/>
      <c r="D24" s="36"/>
      <c r="E24" s="36"/>
      <c r="F24" s="36"/>
      <c r="G24" s="36"/>
      <c r="H24" s="87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6"/>
      <c r="D25" s="36"/>
      <c r="E25" s="36"/>
      <c r="F25" s="36"/>
      <c r="G25" s="36"/>
      <c r="H25" s="87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6"/>
      <c r="D26" s="36"/>
      <c r="E26" s="36"/>
      <c r="F26" s="36"/>
      <c r="G26" s="36"/>
      <c r="H26" s="87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6"/>
      <c r="D27" s="36"/>
      <c r="E27" s="36"/>
      <c r="F27" s="36"/>
      <c r="G27" s="36"/>
      <c r="H27" s="87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6"/>
      <c r="D28" s="36"/>
      <c r="E28" s="36"/>
      <c r="F28" s="36"/>
      <c r="G28" s="36"/>
      <c r="H28" s="87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6"/>
      <c r="D29" s="36"/>
      <c r="E29" s="36"/>
      <c r="F29" s="36"/>
      <c r="G29" s="36"/>
      <c r="H29" s="8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6"/>
      <c r="D30" s="36"/>
      <c r="E30" s="36"/>
      <c r="F30" s="36"/>
      <c r="G30" s="36"/>
      <c r="H30" s="87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6"/>
      <c r="D31" s="36"/>
      <c r="E31" s="36"/>
      <c r="F31" s="36"/>
      <c r="G31" s="36"/>
      <c r="H31" s="8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6"/>
      <c r="D32" s="36"/>
      <c r="E32" s="36"/>
      <c r="F32" s="36"/>
      <c r="G32" s="36"/>
      <c r="H32" s="87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6"/>
      <c r="D33" s="36"/>
      <c r="E33" s="36"/>
      <c r="F33" s="36"/>
      <c r="G33" s="36"/>
      <c r="H33" s="87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6"/>
      <c r="D34" s="3"/>
      <c r="E34" s="3"/>
      <c r="F34" s="3"/>
      <c r="G34" s="3"/>
      <c r="H34" s="87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 t="s">
        <v>9</v>
      </c>
      <c r="C35" s="89">
        <f t="shared" ref="C35:H35" si="2">SUM(C2:C34)</f>
        <v>1425000</v>
      </c>
      <c r="D35" s="89">
        <f t="shared" si="2"/>
        <v>0</v>
      </c>
      <c r="E35" s="89">
        <f t="shared" si="2"/>
        <v>0</v>
      </c>
      <c r="F35" s="89">
        <f t="shared" si="2"/>
        <v>0</v>
      </c>
      <c r="G35" s="89">
        <f t="shared" si="2"/>
        <v>0</v>
      </c>
      <c r="H35" s="90">
        <f t="shared" si="2"/>
        <v>1425000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87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87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87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87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87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87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8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87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87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87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87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87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87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87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87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87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87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87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87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87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87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87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87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87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87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87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87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87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87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87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87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87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87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87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87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87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87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87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87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87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87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87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87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87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87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87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87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87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87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87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87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87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87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87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87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87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87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87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87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87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87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87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87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87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87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87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87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87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87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87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87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87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87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87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87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87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87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87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87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87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87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87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87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87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87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87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87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87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87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87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87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87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87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87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87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87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87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87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87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87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87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87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87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87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87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87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87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87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87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87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87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87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87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87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87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87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87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87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87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87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87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87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87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87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87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87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87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87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87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87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87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87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87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87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87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87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87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87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87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87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87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87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87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87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87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87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87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87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87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87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87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87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87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87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87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87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87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87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87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87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87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87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87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87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87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87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87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87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87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87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87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87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87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87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87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87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87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87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87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87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87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87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87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87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87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87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87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87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87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87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87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87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87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87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87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87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87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87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87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87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19.88"/>
    <col customWidth="1" min="3" max="6" width="12.63"/>
  </cols>
  <sheetData>
    <row r="1" ht="15.75" customHeight="1">
      <c r="A1" s="3"/>
      <c r="B1" s="3" t="s">
        <v>123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87" t="s">
        <v>124</v>
      </c>
      <c r="I1" s="88" t="s">
        <v>125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54">
        <v>1.0</v>
      </c>
      <c r="B2" s="36" t="s">
        <v>126</v>
      </c>
      <c r="C2" s="89">
        <v>600000.0</v>
      </c>
      <c r="D2" s="3"/>
      <c r="E2" s="36"/>
      <c r="F2" s="36"/>
      <c r="G2" s="36"/>
      <c r="H2" s="90">
        <f t="shared" ref="H2:H4" si="1">SUM(C2:G2)</f>
        <v>600000</v>
      </c>
      <c r="I2" s="9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54">
        <v>2.0</v>
      </c>
      <c r="B3" s="36" t="s">
        <v>127</v>
      </c>
      <c r="C3" s="92">
        <v>75000.0</v>
      </c>
      <c r="D3" s="36"/>
      <c r="E3" s="36"/>
      <c r="F3" s="36"/>
      <c r="G3" s="36"/>
      <c r="H3" s="90">
        <f t="shared" si="1"/>
        <v>75000</v>
      </c>
      <c r="I3" s="9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54">
        <v>3.0</v>
      </c>
      <c r="B4" s="36" t="s">
        <v>128</v>
      </c>
      <c r="C4" s="89">
        <v>750000.0</v>
      </c>
      <c r="D4" s="36"/>
      <c r="E4" s="36"/>
      <c r="F4" s="36"/>
      <c r="G4" s="36"/>
      <c r="H4" s="90">
        <f t="shared" si="1"/>
        <v>750000</v>
      </c>
      <c r="I4" s="9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9"/>
      <c r="B5" s="50"/>
      <c r="C5" s="36"/>
      <c r="D5" s="89"/>
      <c r="E5" s="92"/>
      <c r="G5" s="36"/>
      <c r="H5" s="90"/>
      <c r="I5" s="9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69"/>
      <c r="B6" s="50"/>
      <c r="C6" s="36"/>
      <c r="D6" s="3"/>
      <c r="F6" s="89"/>
      <c r="G6" s="3"/>
      <c r="H6" s="90"/>
      <c r="I6" s="91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50"/>
      <c r="B7" s="50"/>
      <c r="C7" s="36"/>
      <c r="D7" s="36"/>
      <c r="E7" s="76"/>
      <c r="F7" s="36"/>
      <c r="G7" s="36"/>
      <c r="H7" s="90"/>
      <c r="I7" s="9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36"/>
      <c r="E8" s="3"/>
      <c r="F8" s="3"/>
      <c r="G8" s="36"/>
      <c r="H8" s="36"/>
      <c r="I8" s="9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6"/>
      <c r="D9" s="36"/>
      <c r="E9" s="36"/>
      <c r="F9" s="36"/>
      <c r="G9" s="36"/>
      <c r="H9" s="36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6"/>
      <c r="D10" s="36"/>
      <c r="E10" s="36"/>
      <c r="F10" s="36"/>
      <c r="G10" s="36"/>
      <c r="H10" s="87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6"/>
      <c r="D11" s="36"/>
      <c r="E11" s="36"/>
      <c r="F11" s="36"/>
      <c r="G11" s="36"/>
      <c r="H11" s="87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6"/>
      <c r="D12" s="36"/>
      <c r="E12" s="36"/>
      <c r="F12" s="36"/>
      <c r="G12" s="36"/>
      <c r="H12" s="87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6"/>
      <c r="D13" s="36"/>
      <c r="E13" s="36"/>
      <c r="F13" s="36"/>
      <c r="G13" s="36"/>
      <c r="H13" s="87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6"/>
      <c r="D14" s="36"/>
      <c r="E14" s="36"/>
      <c r="F14" s="36"/>
      <c r="G14" s="36"/>
      <c r="H14" s="87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6"/>
      <c r="D15" s="36"/>
      <c r="E15" s="36"/>
      <c r="F15" s="36"/>
      <c r="G15" s="36"/>
      <c r="H15" s="8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6"/>
      <c r="D16" s="36"/>
      <c r="E16" s="36"/>
      <c r="F16" s="36"/>
      <c r="G16" s="36"/>
      <c r="H16" s="8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6"/>
      <c r="D17" s="36"/>
      <c r="E17" s="36"/>
      <c r="F17" s="36"/>
      <c r="G17" s="36"/>
      <c r="H17" s="87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6"/>
      <c r="D18" s="36"/>
      <c r="E18" s="36"/>
      <c r="F18" s="36"/>
      <c r="G18" s="36"/>
      <c r="H18" s="8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6"/>
      <c r="D19" s="36"/>
      <c r="E19" s="36"/>
      <c r="F19" s="36"/>
      <c r="G19" s="36"/>
      <c r="H19" s="87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6"/>
      <c r="D20" s="36"/>
      <c r="E20" s="36"/>
      <c r="F20" s="36"/>
      <c r="G20" s="36"/>
      <c r="H20" s="8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6"/>
      <c r="D21" s="36"/>
      <c r="E21" s="36"/>
      <c r="F21" s="36"/>
      <c r="G21" s="36"/>
      <c r="H21" s="8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6"/>
      <c r="D22" s="36"/>
      <c r="E22" s="36"/>
      <c r="F22" s="36"/>
      <c r="G22" s="36"/>
      <c r="H22" s="87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6"/>
      <c r="D23" s="36"/>
      <c r="E23" s="36"/>
      <c r="F23" s="36"/>
      <c r="G23" s="36"/>
      <c r="H23" s="87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6"/>
      <c r="D24" s="36"/>
      <c r="E24" s="36"/>
      <c r="F24" s="36"/>
      <c r="G24" s="36"/>
      <c r="H24" s="87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6"/>
      <c r="D25" s="36"/>
      <c r="E25" s="36"/>
      <c r="F25" s="36"/>
      <c r="G25" s="36"/>
      <c r="H25" s="87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6"/>
      <c r="D26" s="36"/>
      <c r="E26" s="36"/>
      <c r="F26" s="36"/>
      <c r="G26" s="36"/>
      <c r="H26" s="87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6"/>
      <c r="D27" s="36"/>
      <c r="E27" s="36"/>
      <c r="F27" s="36"/>
      <c r="G27" s="36"/>
      <c r="H27" s="87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6"/>
      <c r="D28" s="36"/>
      <c r="E28" s="36"/>
      <c r="F28" s="36"/>
      <c r="G28" s="36"/>
      <c r="H28" s="87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6"/>
      <c r="D29" s="36"/>
      <c r="E29" s="36"/>
      <c r="F29" s="36"/>
      <c r="G29" s="36"/>
      <c r="H29" s="8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6"/>
      <c r="D30" s="36"/>
      <c r="E30" s="36"/>
      <c r="F30" s="36"/>
      <c r="G30" s="36"/>
      <c r="H30" s="87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6"/>
      <c r="D31" s="36"/>
      <c r="E31" s="36"/>
      <c r="F31" s="36"/>
      <c r="G31" s="36"/>
      <c r="H31" s="8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6"/>
      <c r="D32" s="36"/>
      <c r="E32" s="36"/>
      <c r="F32" s="36"/>
      <c r="G32" s="36"/>
      <c r="H32" s="87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6"/>
      <c r="D33" s="36"/>
      <c r="E33" s="36"/>
      <c r="F33" s="36"/>
      <c r="G33" s="36"/>
      <c r="H33" s="87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6"/>
      <c r="D34" s="3"/>
      <c r="E34" s="3"/>
      <c r="F34" s="3"/>
      <c r="G34" s="3"/>
      <c r="H34" s="87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 t="s">
        <v>9</v>
      </c>
      <c r="C35" s="89">
        <f t="shared" ref="C35:H35" si="2">SUM(C2:C34)</f>
        <v>1425000</v>
      </c>
      <c r="D35" s="89">
        <f t="shared" si="2"/>
        <v>0</v>
      </c>
      <c r="E35" s="89">
        <f t="shared" si="2"/>
        <v>0</v>
      </c>
      <c r="F35" s="89">
        <f t="shared" si="2"/>
        <v>0</v>
      </c>
      <c r="G35" s="89">
        <f t="shared" si="2"/>
        <v>0</v>
      </c>
      <c r="H35" s="90">
        <f t="shared" si="2"/>
        <v>1425000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87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87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87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87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87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87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8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87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87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87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87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87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87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87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87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87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87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87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87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87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87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87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87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87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87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87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87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87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87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87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87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87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87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87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87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87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87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87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87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87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87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87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87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87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87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87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87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87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87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87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87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87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87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87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87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87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87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87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87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87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87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87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87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87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87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87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87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87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87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87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87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87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87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87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87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87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87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87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87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87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87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87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87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87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87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87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87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87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87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87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87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87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87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87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87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87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87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87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87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87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87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87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87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87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87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87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87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87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87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87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87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87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87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87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87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87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87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87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87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87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87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87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87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87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87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87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87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87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87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87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87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87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87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87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87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87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87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87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87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87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87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87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87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87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87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87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87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87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87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87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87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87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87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87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87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87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87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87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87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87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87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87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87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87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87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87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87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87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87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87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87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87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87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87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87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87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87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87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87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87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87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87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87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87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87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87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87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87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87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87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87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87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87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87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87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87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87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87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87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87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19.88"/>
    <col customWidth="1" min="3" max="6" width="12.63"/>
  </cols>
  <sheetData>
    <row r="1" ht="15.75" customHeight="1">
      <c r="A1" s="3"/>
      <c r="B1" s="3" t="s">
        <v>123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87" t="s">
        <v>124</v>
      </c>
      <c r="I1" s="88" t="s">
        <v>125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54">
        <v>1.0</v>
      </c>
      <c r="B2" s="36" t="s">
        <v>126</v>
      </c>
      <c r="C2" s="89">
        <v>600000.0</v>
      </c>
      <c r="D2" s="3"/>
      <c r="E2" s="36"/>
      <c r="F2" s="36"/>
      <c r="G2" s="36"/>
      <c r="H2" s="90">
        <f t="shared" ref="H2:H4" si="1">SUM(C2:G2)</f>
        <v>600000</v>
      </c>
      <c r="I2" s="9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54">
        <v>2.0</v>
      </c>
      <c r="B3" s="36" t="s">
        <v>127</v>
      </c>
      <c r="C3" s="92">
        <v>75000.0</v>
      </c>
      <c r="D3" s="36"/>
      <c r="E3" s="36"/>
      <c r="F3" s="36"/>
      <c r="G3" s="36"/>
      <c r="H3" s="90">
        <f t="shared" si="1"/>
        <v>75000</v>
      </c>
      <c r="I3" s="9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54">
        <v>3.0</v>
      </c>
      <c r="B4" s="36" t="s">
        <v>128</v>
      </c>
      <c r="C4" s="89">
        <v>750000.0</v>
      </c>
      <c r="D4" s="36"/>
      <c r="E4" s="36"/>
      <c r="F4" s="36"/>
      <c r="G4" s="36"/>
      <c r="H4" s="90">
        <f t="shared" si="1"/>
        <v>750000</v>
      </c>
      <c r="I4" s="91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69"/>
      <c r="B5" s="50"/>
      <c r="C5" s="36"/>
      <c r="D5" s="92"/>
      <c r="E5" s="36"/>
      <c r="F5" s="3"/>
      <c r="G5" s="3"/>
      <c r="H5" s="90"/>
      <c r="I5" s="9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50"/>
      <c r="B6" s="50"/>
      <c r="C6" s="36"/>
      <c r="D6" s="36"/>
      <c r="E6" s="36"/>
      <c r="F6" s="92"/>
      <c r="G6" s="36"/>
      <c r="H6" s="90"/>
      <c r="I6" s="91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6"/>
      <c r="D7" s="36"/>
      <c r="E7" s="36"/>
      <c r="F7" s="36"/>
      <c r="G7" s="36"/>
      <c r="H7" s="36"/>
      <c r="I7" s="9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36"/>
      <c r="E8" s="3"/>
      <c r="F8" s="3"/>
      <c r="G8" s="36"/>
      <c r="H8" s="36"/>
      <c r="I8" s="9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6"/>
      <c r="D9" s="36"/>
      <c r="E9" s="36"/>
      <c r="F9" s="36"/>
      <c r="G9" s="36"/>
      <c r="H9" s="36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6"/>
      <c r="D10" s="36"/>
      <c r="E10" s="36"/>
      <c r="F10" s="36"/>
      <c r="G10" s="36"/>
      <c r="H10" s="87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6"/>
      <c r="D11" s="36"/>
      <c r="E11" s="36"/>
      <c r="F11" s="36"/>
      <c r="G11" s="36"/>
      <c r="H11" s="87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6"/>
      <c r="D12" s="36"/>
      <c r="E12" s="36"/>
      <c r="F12" s="36"/>
      <c r="G12" s="36"/>
      <c r="H12" s="87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6"/>
      <c r="D13" s="36"/>
      <c r="E13" s="36"/>
      <c r="F13" s="36"/>
      <c r="G13" s="36"/>
      <c r="H13" s="87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6"/>
      <c r="D14" s="36"/>
      <c r="E14" s="36"/>
      <c r="F14" s="36"/>
      <c r="G14" s="36"/>
      <c r="H14" s="87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6"/>
      <c r="D15" s="36"/>
      <c r="E15" s="36"/>
      <c r="F15" s="36"/>
      <c r="G15" s="36"/>
      <c r="H15" s="8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6"/>
      <c r="D16" s="36"/>
      <c r="E16" s="36"/>
      <c r="F16" s="36"/>
      <c r="G16" s="36"/>
      <c r="H16" s="8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6"/>
      <c r="D17" s="36"/>
      <c r="E17" s="36"/>
      <c r="F17" s="36"/>
      <c r="G17" s="36"/>
      <c r="H17" s="87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6"/>
      <c r="D18" s="36"/>
      <c r="E18" s="36"/>
      <c r="F18" s="36"/>
      <c r="G18" s="36"/>
      <c r="H18" s="8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6"/>
      <c r="D19" s="36"/>
      <c r="E19" s="36"/>
      <c r="F19" s="36"/>
      <c r="G19" s="36"/>
      <c r="H19" s="87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6"/>
      <c r="D20" s="36"/>
      <c r="E20" s="36"/>
      <c r="F20" s="36"/>
      <c r="G20" s="36"/>
      <c r="H20" s="87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6"/>
      <c r="D21" s="36"/>
      <c r="E21" s="36"/>
      <c r="F21" s="36"/>
      <c r="G21" s="36"/>
      <c r="H21" s="87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6"/>
      <c r="D22" s="36"/>
      <c r="E22" s="36"/>
      <c r="F22" s="36"/>
      <c r="G22" s="36"/>
      <c r="H22" s="87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6"/>
      <c r="D23" s="36"/>
      <c r="E23" s="36"/>
      <c r="F23" s="36"/>
      <c r="G23" s="36"/>
      <c r="H23" s="87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6"/>
      <c r="D24" s="36"/>
      <c r="E24" s="36"/>
      <c r="F24" s="36"/>
      <c r="G24" s="36"/>
      <c r="H24" s="87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6"/>
      <c r="D25" s="36"/>
      <c r="E25" s="36"/>
      <c r="F25" s="36"/>
      <c r="G25" s="36"/>
      <c r="H25" s="87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6"/>
      <c r="D26" s="36"/>
      <c r="E26" s="36"/>
      <c r="F26" s="36"/>
      <c r="G26" s="36"/>
      <c r="H26" s="87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6"/>
      <c r="D27" s="36"/>
      <c r="E27" s="36"/>
      <c r="F27" s="36"/>
      <c r="G27" s="36"/>
      <c r="H27" s="87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6"/>
      <c r="D28" s="36"/>
      <c r="E28" s="36"/>
      <c r="F28" s="36"/>
      <c r="G28" s="36"/>
      <c r="H28" s="87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6"/>
      <c r="D29" s="36"/>
      <c r="E29" s="36"/>
      <c r="F29" s="36"/>
      <c r="G29" s="36"/>
      <c r="H29" s="8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6"/>
      <c r="D30" s="36"/>
      <c r="E30" s="36"/>
      <c r="F30" s="36"/>
      <c r="G30" s="36"/>
      <c r="H30" s="87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6"/>
      <c r="D31" s="36"/>
      <c r="E31" s="36"/>
      <c r="F31" s="36"/>
      <c r="G31" s="36"/>
      <c r="H31" s="8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6"/>
      <c r="D32" s="36"/>
      <c r="E32" s="36"/>
      <c r="F32" s="36"/>
      <c r="G32" s="36"/>
      <c r="H32" s="87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6"/>
      <c r="D33" s="36"/>
      <c r="E33" s="36"/>
      <c r="F33" s="36"/>
      <c r="G33" s="36"/>
      <c r="H33" s="87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6"/>
      <c r="D34" s="3"/>
      <c r="E34" s="3"/>
      <c r="F34" s="3"/>
      <c r="G34" s="3"/>
      <c r="H34" s="87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 t="s">
        <v>9</v>
      </c>
      <c r="C35" s="89">
        <f t="shared" ref="C35:H35" si="2">SUM(C2:C34)</f>
        <v>1425000</v>
      </c>
      <c r="D35" s="89">
        <f t="shared" si="2"/>
        <v>0</v>
      </c>
      <c r="E35" s="89">
        <f t="shared" si="2"/>
        <v>0</v>
      </c>
      <c r="F35" s="89">
        <f t="shared" si="2"/>
        <v>0</v>
      </c>
      <c r="G35" s="89">
        <f t="shared" si="2"/>
        <v>0</v>
      </c>
      <c r="H35" s="90">
        <f t="shared" si="2"/>
        <v>1425000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87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87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87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87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87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87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8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87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87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87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87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87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87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87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87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87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87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87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87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87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87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87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87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87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87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87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87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87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87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87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87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87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87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87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87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87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87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87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87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87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87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87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87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87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87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87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87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87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87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87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87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87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87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87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87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87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87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87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87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87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87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87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87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87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87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87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87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87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87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87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87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87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87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87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87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87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87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87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87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87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87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87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87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87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87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87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87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87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87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87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87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87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87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87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87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87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87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87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87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87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87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87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87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87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87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87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87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87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87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87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87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87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87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87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87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87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87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87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87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87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87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87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87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87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87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87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87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87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87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87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87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87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87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87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87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87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87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87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87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87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87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87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87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87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87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87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87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87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87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87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87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87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87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87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87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87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87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87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87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87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87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87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87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87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87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87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87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87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87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87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87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87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87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87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87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87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87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87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87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87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87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87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87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87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87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87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87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87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87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87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87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87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87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87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87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87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87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87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87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87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01" t="s">
        <v>140</v>
      </c>
      <c r="B1" s="102">
        <v>2026.0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